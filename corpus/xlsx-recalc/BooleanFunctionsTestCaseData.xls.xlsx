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1A840C85-74FC-8F4C-ABEE-9D8851E53692}" xr6:coauthVersionLast="47" xr6:coauthVersionMax="47" xr10:uidLastSave="{00000000-0000-0000-0000-000000000000}"/>
  <bookViews>
    <workbookView xWindow="8300" yWindow="600" windowWidth="22820" windowHeight="12200" activeTab="1" xr2:uid="{B1EDDE43-9D77-BF4F-99AE-B79730112E39}"/>
  </bookViews>
  <sheets>
    <sheet name="Read Me" sheetId="3" r:id="rId1"/>
    <sheet name="Tests" sheetId="2" r:id="rId2"/>
  </sheets>
  <definedNames>
    <definedName name="numberArea">Tests!#REF!</definedName>
    <definedName name="oneByOne">Tests!#REF!</definedName>
    <definedName name="singleColumn">Tests!#REF!</definedName>
    <definedName name="singleRow">Tests!#REF!</definedName>
    <definedName name="threeByThree">Tests!#REF!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B33" i="2"/>
  <c r="B31" i="2"/>
  <c r="B32" i="2"/>
  <c r="B30" i="2"/>
  <c r="B21" i="2"/>
  <c r="B22" i="2"/>
  <c r="B29" i="2"/>
  <c r="B28" i="2"/>
  <c r="B27" i="2"/>
  <c r="B26" i="2"/>
  <c r="B25" i="2"/>
  <c r="B24" i="2"/>
  <c r="B23" i="2"/>
  <c r="B16" i="2"/>
  <c r="B15" i="2"/>
  <c r="B20" i="2"/>
  <c r="B19" i="2"/>
  <c r="B18" i="2"/>
  <c r="B17" i="2"/>
  <c r="E10" i="2"/>
  <c r="E8" i="2"/>
  <c r="E7" i="2"/>
  <c r="B12" i="2" s="1" a="1"/>
  <c r="B12" i="2" s="1"/>
  <c r="B5" i="2" l="1" a="1"/>
  <c r="B13" i="2" a="1"/>
  <c r="B13" i="2" s="1"/>
  <c r="B7" i="2" l="1"/>
  <c r="B8" i="2"/>
  <c r="B10" i="2"/>
  <c r="B6" i="2"/>
  <c r="B5" i="2"/>
  <c r="B9" i="2"/>
</calcChain>
</file>

<file path=xl/sharedStrings.xml><?xml version="1.0" encoding="utf-8"?>
<sst xmlns="http://schemas.openxmlformats.org/spreadsheetml/2006/main" count="37" uniqueCount="37">
  <si>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</si>
  <si>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</si>
  <si>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</si>
  <si>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</si>
  <si>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</si>
  <si>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</si>
  <si>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</si>
  <si>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</si>
  <si>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&lt;end&gt;</t>
  </si>
  <si>
    <t>Formula</t>
  </si>
  <si>
    <t>Expected Result</t>
  </si>
  <si>
    <t>Comment</t>
  </si>
  <si>
    <t>Sheet Comment:</t>
  </si>
  <si>
    <t>Data</t>
  </si>
  <si>
    <t>arrays arguments, 3 args</t>
  </si>
  <si>
    <t>This spreadsheet contains various test cases for boolean  functions: AND, NOT, OR</t>
  </si>
  <si>
    <t>org.apache.poi.ss.formula.functions.TestBooleanFunctionsFromSpreadsheet</t>
  </si>
  <si>
    <t xml:space="preserve"> =""</t>
  </si>
  <si>
    <t>Count the number of values that are NOT blank 1*NOT</t>
  </si>
  <si>
    <t>Count the number of values that are NOT blank --NOT</t>
  </si>
  <si>
    <t>and two args</t>
  </si>
  <si>
    <t>and one arg</t>
  </si>
  <si>
    <t>and empty arg</t>
  </si>
  <si>
    <t>or two args</t>
  </si>
  <si>
    <t>or one arg</t>
  </si>
  <si>
    <t>or empty arg</t>
  </si>
  <si>
    <t>or blank and missing</t>
  </si>
  <si>
    <t>and blank and missing</t>
  </si>
  <si>
    <t>and blank</t>
  </si>
  <si>
    <t>or blank</t>
  </si>
  <si>
    <t>and blank from formula</t>
  </si>
  <si>
    <t>a</t>
  </si>
  <si>
    <t>b</t>
  </si>
  <si>
    <t>wert</t>
  </si>
  <si>
    <t>or blank from formula</t>
  </si>
  <si>
    <t>and empty cell ref</t>
  </si>
  <si>
    <t>or empty cell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</si>
</sst>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178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Alignment="1">
      <alignment horizontal="left" vertical="top" wrapText="1"/>
    </xf>
    <xf numFmtId="14" fontId="2" fillId="0" borderId="0" xfId="1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1" quotePrefix="1" applyNumberFormat="1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E5A2-E7F6-2545-956D-CEC8F1C5A779}">
  <dimension ref="A1:A11"/>
  <sheetViews>
    <sheetView workbookViewId="0">
      <selection activeCell="A3" sqref="A3"/>
    </sheetView>
  </sheetViews>
  <sheetFormatPr baseColWidth="10" defaultColWidth="9.1640625" defaultRowHeight="15" x14ac:dyDescent="0.2"/>
  <cols>
    <col min="1" max="1" width="108.5" bestFit="1" customWidth="1"/>
  </cols>
  <sheetData>
    <row r="1" spans="1:1" x14ac:dyDescent="0.2">
      <c r="A1" t="s">
        <v>15</v>
      </c>
    </row>
    <row r="2" spans="1:1" x14ac:dyDescent="0.2">
      <c r="A2" t="s">
        <v>0</v>
      </c>
    </row>
    <row r="3" spans="1:1" x14ac:dyDescent="0.2">
      <c r="A3" t="s">
        <v>16</v>
      </c>
    </row>
    <row r="4" spans="1:1" x14ac:dyDescent="0.2">
      <c r="A4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ht="32" x14ac:dyDescent="0.2">
      <c r="A8" s="1" t="s">
        <v>4</v>
      </c>
    </row>
    <row r="9" spans="1:1" ht="32" x14ac:dyDescent="0.2">
      <c r="A9" s="2" t="s">
        <v>5</v>
      </c>
    </row>
    <row r="10" spans="1:1" ht="32" x14ac:dyDescent="0.2">
      <c r="A10" s="1" t="s">
        <v>6</v>
      </c>
    </row>
    <row r="11" spans="1:1" ht="32" x14ac:dyDescent="0.2">
      <c r="A1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BD2C-068E-9A45-A382-9F310E9CE1DE}">
  <dimension ref="A1:H35"/>
  <sheetViews>
    <sheetView tabSelected="1" workbookViewId="0">
      <selection activeCell="B15" sqref="B15"/>
    </sheetView>
  </sheetViews>
  <sheetFormatPr baseColWidth="10" defaultColWidth="9.1640625" defaultRowHeight="15" x14ac:dyDescent="0.2"/>
  <cols>
    <col min="1" max="1" width="6.5" bestFit="1" customWidth="1"/>
    <col min="2" max="2" width="16" bestFit="1" customWidth="1"/>
    <col min="3" max="3" width="49.5" bestFit="1" customWidth="1"/>
    <col min="4" max="4" width="33.1640625" customWidth="1"/>
    <col min="5" max="5" width="10.33203125" customWidth="1"/>
    <col min="6" max="6" width="12" customWidth="1"/>
    <col min="7" max="7" width="16" customWidth="1"/>
    <col min="8" max="8" width="9.1640625" customWidth="1"/>
    <col min="9" max="11" width="6.1640625" bestFit="1" customWidth="1"/>
    <col min="12" max="13" width="4" bestFit="1" customWidth="1"/>
    <col min="14" max="14" width="2.1640625" bestFit="1" customWidth="1"/>
  </cols>
  <sheetData>
    <row r="1" spans="2:8" x14ac:dyDescent="0.2">
      <c r="B1" s="3" t="s">
        <v>12</v>
      </c>
    </row>
    <row r="3" spans="2:8" x14ac:dyDescent="0.2">
      <c r="B3" s="3" t="s">
        <v>9</v>
      </c>
      <c r="C3" s="3" t="s">
        <v>10</v>
      </c>
      <c r="D3" s="3" t="s">
        <v>11</v>
      </c>
      <c r="E3" s="3" t="s">
        <v>13</v>
      </c>
    </row>
    <row r="4" spans="2:8" ht="14.25" customHeight="1" x14ac:dyDescent="0.2">
      <c r="D4" s="4"/>
    </row>
    <row r="5" spans="2:8" ht="16" x14ac:dyDescent="0.2">
      <c r="B5" t="b">
        <f t="array" ref="B5:B10">NOT(ISBLANK(E5:E10))</f>
        <v>1</v>
      </c>
      <c r="C5" t="b">
        <v>1</v>
      </c>
      <c r="D5" s="4" t="s">
        <v>14</v>
      </c>
      <c r="E5" s="8">
        <v>67</v>
      </c>
      <c r="G5" t="s">
        <v>31</v>
      </c>
    </row>
    <row r="6" spans="2:8" x14ac:dyDescent="0.2">
      <c r="B6" t="b">
        <v>1</v>
      </c>
      <c r="C6" t="b">
        <v>1</v>
      </c>
      <c r="D6" s="4"/>
      <c r="E6" s="8">
        <v>23</v>
      </c>
      <c r="G6" t="s">
        <v>32</v>
      </c>
      <c r="H6" t="s">
        <v>33</v>
      </c>
    </row>
    <row r="7" spans="2:8" x14ac:dyDescent="0.2">
      <c r="B7" t="b">
        <v>1</v>
      </c>
      <c r="C7" t="b">
        <v>1</v>
      </c>
      <c r="D7" s="4"/>
      <c r="E7" s="8" t="e">
        <f>NA()</f>
        <v>#N/A</v>
      </c>
    </row>
    <row r="8" spans="2:8" x14ac:dyDescent="0.2">
      <c r="B8" t="b">
        <v>1</v>
      </c>
      <c r="C8" t="b">
        <v>1</v>
      </c>
      <c r="D8" s="4"/>
      <c r="E8" s="8" t="e">
        <f>a</f>
        <v>#NAME?</v>
      </c>
    </row>
    <row r="9" spans="2:8" x14ac:dyDescent="0.2">
      <c r="B9" t="b">
        <v>0</v>
      </c>
      <c r="C9" t="b">
        <v>0</v>
      </c>
      <c r="D9" s="4"/>
      <c r="E9" s="8"/>
    </row>
    <row r="10" spans="2:8" x14ac:dyDescent="0.2">
      <c r="B10" t="b">
        <v>1</v>
      </c>
      <c r="C10" t="b">
        <v>1</v>
      </c>
      <c r="D10" s="4"/>
      <c r="E10" s="8" t="str">
        <f>""</f>
        <v/>
      </c>
      <c r="F10" t="s">
        <v>17</v>
      </c>
    </row>
    <row r="11" spans="2:8" x14ac:dyDescent="0.2">
      <c r="D11" s="6"/>
      <c r="E11" s="5"/>
      <c r="F11" s="5"/>
      <c r="G11" s="5"/>
    </row>
    <row r="12" spans="2:8" ht="32" x14ac:dyDescent="0.2">
      <c r="B12">
        <f t="array" ref="B12">SUM(1*NOT(ISBLANK(E5:E10)))</f>
        <v>5</v>
      </c>
      <c r="C12">
        <v>5</v>
      </c>
      <c r="D12" s="7" t="s">
        <v>18</v>
      </c>
      <c r="E12" s="5"/>
      <c r="F12" s="5"/>
      <c r="G12" s="5"/>
    </row>
    <row r="13" spans="2:8" ht="32" x14ac:dyDescent="0.2">
      <c r="B13">
        <f t="array" ref="B13">SUM(--NOT(ISBLANK(E5:E10)))</f>
        <v>5</v>
      </c>
      <c r="C13">
        <v>5</v>
      </c>
      <c r="D13" s="7" t="s">
        <v>19</v>
      </c>
      <c r="E13" s="5"/>
      <c r="F13" s="5"/>
      <c r="G13" s="5"/>
    </row>
    <row r="15" spans="2:8" x14ac:dyDescent="0.2">
      <c r="B15" t="b">
        <f>AND(TRUE,FALSE)</f>
        <v>0</v>
      </c>
      <c r="C15" t="b">
        <v>0</v>
      </c>
      <c r="D15" t="s">
        <v>20</v>
      </c>
    </row>
    <row r="16" spans="2:8" x14ac:dyDescent="0.2">
      <c r="B16" t="b">
        <f>AND(TRUE,TRUE)</f>
        <v>1</v>
      </c>
      <c r="C16" t="b">
        <v>1</v>
      </c>
    </row>
    <row r="17" spans="2:4" x14ac:dyDescent="0.2">
      <c r="B17" t="b">
        <f>AND(TRUE)</f>
        <v>1</v>
      </c>
      <c r="C17" t="b">
        <v>1</v>
      </c>
      <c r="D17" t="s">
        <v>21</v>
      </c>
    </row>
    <row r="18" spans="2:4" x14ac:dyDescent="0.2">
      <c r="B18" t="b">
        <f>AND(FALSE)</f>
        <v>0</v>
      </c>
      <c r="C18" t="b">
        <v>0</v>
      </c>
    </row>
    <row r="19" spans="2:4" x14ac:dyDescent="0.2">
      <c r="B19" t="b">
        <f>AND(,TRUE)</f>
        <v>0</v>
      </c>
      <c r="C19" t="b">
        <v>0</v>
      </c>
      <c r="D19" t="s">
        <v>22</v>
      </c>
    </row>
    <row r="20" spans="2:4" x14ac:dyDescent="0.2">
      <c r="B20" t="b">
        <f>AND(,FALSE)</f>
        <v>0</v>
      </c>
      <c r="C20" t="b">
        <v>0</v>
      </c>
    </row>
    <row r="21" spans="2:4" x14ac:dyDescent="0.2">
      <c r="B21" t="e">
        <f>AND(E21)</f>
        <v>#VALUE!</v>
      </c>
      <c r="C21" t="e">
        <v>#VALUE!</v>
      </c>
      <c r="D21" t="s">
        <v>28</v>
      </c>
    </row>
    <row r="22" spans="2:4" x14ac:dyDescent="0.2">
      <c r="B22" t="b">
        <f>AND(E21,)</f>
        <v>0</v>
      </c>
      <c r="C22" t="b">
        <v>0</v>
      </c>
      <c r="D22" t="s">
        <v>27</v>
      </c>
    </row>
    <row r="23" spans="2:4" x14ac:dyDescent="0.2">
      <c r="B23" t="b">
        <f>OR(TRUE,FALSE)</f>
        <v>1</v>
      </c>
      <c r="C23" t="b">
        <v>1</v>
      </c>
      <c r="D23" t="s">
        <v>23</v>
      </c>
    </row>
    <row r="24" spans="2:4" x14ac:dyDescent="0.2">
      <c r="B24" t="b">
        <f>OR(TRUE,TRUE)</f>
        <v>1</v>
      </c>
      <c r="C24" t="b">
        <v>1</v>
      </c>
    </row>
    <row r="25" spans="2:4" x14ac:dyDescent="0.2">
      <c r="B25" t="b">
        <f>OR(TRUE)</f>
        <v>1</v>
      </c>
      <c r="C25" t="b">
        <v>1</v>
      </c>
      <c r="D25" t="s">
        <v>24</v>
      </c>
    </row>
    <row r="26" spans="2:4" x14ac:dyDescent="0.2">
      <c r="B26" t="b">
        <f>OR(FALSE)</f>
        <v>0</v>
      </c>
      <c r="C26" t="b">
        <v>0</v>
      </c>
    </row>
    <row r="27" spans="2:4" x14ac:dyDescent="0.2">
      <c r="B27" t="b">
        <f>OR(,TRUE)</f>
        <v>1</v>
      </c>
      <c r="C27" t="b">
        <v>1</v>
      </c>
      <c r="D27" t="s">
        <v>25</v>
      </c>
    </row>
    <row r="28" spans="2:4" x14ac:dyDescent="0.2">
      <c r="B28" t="b">
        <f>OR(,FALSE)</f>
        <v>0</v>
      </c>
      <c r="C28" t="b">
        <v>0</v>
      </c>
    </row>
    <row r="29" spans="2:4" x14ac:dyDescent="0.2">
      <c r="B29" t="b">
        <f>OR(E26,)</f>
        <v>0</v>
      </c>
      <c r="C29" t="b">
        <v>0</v>
      </c>
      <c r="D29" t="s">
        <v>26</v>
      </c>
    </row>
    <row r="30" spans="2:4" x14ac:dyDescent="0.2">
      <c r="B30" t="e">
        <f>OR(E30)</f>
        <v>#VALUE!</v>
      </c>
      <c r="C30" t="e">
        <v>#VALUE!</v>
      </c>
      <c r="D30" t="s">
        <v>29</v>
      </c>
    </row>
    <row r="31" spans="2:4" x14ac:dyDescent="0.2">
      <c r="B31" t="b">
        <f>AND(TRUE,VLOOKUP("a",$G$5:$H$6,2,FALSE))</f>
        <v>0</v>
      </c>
      <c r="C31" t="b">
        <v>0</v>
      </c>
      <c r="D31" t="s">
        <v>30</v>
      </c>
    </row>
    <row r="32" spans="2:4" x14ac:dyDescent="0.2">
      <c r="B32" t="b">
        <f>OR(FALSE,VLOOKUP("a",$G$5:$H$6,2,FALSE))</f>
        <v>0</v>
      </c>
      <c r="C32" t="b">
        <v>0</v>
      </c>
      <c r="D32" t="s">
        <v>34</v>
      </c>
    </row>
    <row r="33" spans="1:4" x14ac:dyDescent="0.2">
      <c r="B33" t="b">
        <f>AND(TRUE,E33)</f>
        <v>1</v>
      </c>
      <c r="C33" t="b">
        <v>1</v>
      </c>
      <c r="D33" t="s">
        <v>35</v>
      </c>
    </row>
    <row r="34" spans="1:4" x14ac:dyDescent="0.2">
      <c r="B34" t="b">
        <f>OR(FALSE,E34)</f>
        <v>0</v>
      </c>
      <c r="C34" t="b">
        <v>0</v>
      </c>
      <c r="D34" t="s">
        <v>36</v>
      </c>
    </row>
    <row r="35" spans="1:4" x14ac:dyDescent="0.2">
      <c r="A35" t="s">
        <v>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 Me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2008-02-17T20:34:32Z</dcterms:created>
  <dcterms:modified xsi:type="dcterms:W3CDTF">2026-08-20T14:03:58Z</dcterms:modified>
</cp:coreProperties>
</file>