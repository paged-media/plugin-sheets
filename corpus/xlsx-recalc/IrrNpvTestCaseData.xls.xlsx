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875B304D-C9FD-EB45-B24E-194048996E7C}" xr6:coauthVersionLast="47" xr6:coauthVersionMax="47" xr10:uidLastSave="{00000000-0000-0000-0000-000000000000}"/>
  <bookViews>
    <workbookView xWindow="32760" yWindow="600" windowWidth="19160" windowHeight="8500" xr2:uid="{EA156435-7692-D147-B26A-65A171940F98}"/>
  </bookViews>
  <sheets>
    <sheet name="IRR-NPV" sheetId="1" r:id="rId1"/>
    <sheet name="Sheet2" sheetId="2" r:id="rId2"/>
    <sheet name="Sheet3" sheetId="3" r:id="rId3"/>
  </sheets>
  <definedNames>
    <definedName name="a2_a6" localSheetId="0">'IRR-NPV'!$A$2:$A$6</definedName>
    <definedName name="a2_a7" localSheetId="0">'IRR-NPV'!$A$2:$A$7</definedName>
    <definedName name="irr_guess" localSheetId="0">-0.05</definedName>
    <definedName name="irr_values" localSheetId="0">{-70000,12000,15000}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7" i="1"/>
  <c r="A13" i="2"/>
  <c r="A12" i="2"/>
  <c r="C15" i="1"/>
  <c r="B15" i="1"/>
  <c r="C13" i="1"/>
  <c r="C14" i="1"/>
  <c r="B14" i="1"/>
  <c r="B13" i="1"/>
  <c r="C12" i="1"/>
  <c r="C11" i="1"/>
  <c r="B12" i="1"/>
  <c r="B11" i="1"/>
  <c r="B10" i="1"/>
  <c r="A13" i="1"/>
  <c r="A12" i="1"/>
  <c r="A18" i="1"/>
  <c r="C18" i="1" s="1"/>
  <c r="A17" i="1"/>
  <c r="C17" i="1" s="1"/>
  <c r="A15" i="1"/>
  <c r="A14" i="1"/>
  <c r="A11" i="1"/>
  <c r="A10" i="1"/>
  <c r="C10" i="1" s="1"/>
  <c r="A16" i="1"/>
  <c r="B16" i="1"/>
  <c r="C16" i="1"/>
</calcChain>
</file>

<file path=xl/sharedStrings.xml><?xml version="1.0" encoding="utf-8"?>
<sst xmlns="http://schemas.openxmlformats.org/spreadsheetml/2006/main" count="18" uniqueCount="18">
  <si>
    <t>Initial cost of a business</t>
  </si>
  <si>
    <t>Net income for the first year</t>
  </si>
  <si>
    <t>Net income for the second year</t>
  </si>
  <si>
    <t>Net income for the third year</t>
  </si>
  <si>
    <t>Net income for the fourth year</t>
  </si>
  <si>
    <t>Net income for the fifth year</t>
  </si>
  <si>
    <t>Data</t>
  </si>
  <si>
    <t>Description</t>
  </si>
  <si>
    <t>IRR</t>
  </si>
  <si>
    <t>IRR-NPV Relationship:
NPV(IRR(values),values) = 0</t>
  </si>
  <si>
    <t>NPV</t>
  </si>
  <si>
    <t>1.00001</t>
  </si>
  <si>
    <t>-70000</t>
  </si>
  <si>
    <t>12000</t>
  </si>
  <si>
    <t>15000</t>
  </si>
  <si>
    <t>18000</t>
  </si>
  <si>
    <t>21000</t>
  </si>
  <si>
    <t>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</si>
</sst>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.00_);[Red]\(&quot;$&quot;#,##0.00\)"/>
  </numFmts>
  <fonts count="3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9" fontId="0" fillId="0" borderId="0" xfId="0" applyNumberFormat="1"/>
    <xf numFmtId="0" fontId="1" fillId="0" borderId="0" xfId="0" applyFont="1" applyAlignment="1">
      <alignment horizontal="right"/>
    </xf>
    <xf numFmtId="3" fontId="0" fillId="0" borderId="0" xfId="0" applyNumberFormat="1" applyFill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167" fontId="0" fillId="0" borderId="0" xfId="0" applyNumberFormat="1"/>
    <xf numFmtId="3" fontId="1" fillId="2" borderId="0" xfId="0" applyNumberFormat="1" applyFont="1" applyFill="1" applyAlignment="1">
      <alignment horizontal="right" vertical="top" wrapText="1"/>
    </xf>
    <xf numFmtId="0" fontId="1" fillId="2" borderId="0" xfId="0" applyFont="1" applyFill="1" applyAlignment="1">
      <alignment horizontal="right" vertical="top" wrapText="1"/>
    </xf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1B3C6-6A10-5C41-9C80-094EFE3B1020}">
  <dimension ref="A1:E18"/>
  <sheetViews>
    <sheetView tabSelected="1" workbookViewId="0">
      <selection activeCell="B1" sqref="B1"/>
    </sheetView>
  </sheetViews>
  <sheetFormatPr baseColWidth="10" defaultRowHeight="15" x14ac:dyDescent="0.2"/>
  <cols>
    <col min="1" max="1" width="28.6640625" customWidth="1"/>
    <col min="2" max="2" width="34.33203125" customWidth="1"/>
    <col min="3" max="3" width="43.6640625" customWidth="1"/>
    <col min="4" max="256" width="8.83203125" customWidth="1"/>
  </cols>
  <sheetData>
    <row r="1" spans="1:5" s="1" customFormat="1" ht="15" customHeight="1" x14ac:dyDescent="0.2">
      <c r="A1" s="9" t="s">
        <v>6</v>
      </c>
      <c r="B1" s="9" t="s">
        <v>7</v>
      </c>
    </row>
    <row r="2" spans="1:5" ht="15" customHeight="1" x14ac:dyDescent="0.2">
      <c r="A2" s="4">
        <v>-70000</v>
      </c>
      <c r="B2" s="5" t="s">
        <v>0</v>
      </c>
    </row>
    <row r="3" spans="1:5" ht="15" customHeight="1" x14ac:dyDescent="0.2">
      <c r="A3" s="4">
        <v>12000</v>
      </c>
      <c r="B3" s="5" t="s">
        <v>1</v>
      </c>
      <c r="C3" s="2"/>
    </row>
    <row r="4" spans="1:5" ht="15" customHeight="1" x14ac:dyDescent="0.2">
      <c r="A4" s="4">
        <v>15000</v>
      </c>
      <c r="B4" s="5" t="s">
        <v>2</v>
      </c>
    </row>
    <row r="5" spans="1:5" ht="15" customHeight="1" x14ac:dyDescent="0.2">
      <c r="A5" s="4">
        <v>18000</v>
      </c>
      <c r="B5" s="5" t="s">
        <v>3</v>
      </c>
    </row>
    <row r="6" spans="1:5" ht="15" customHeight="1" x14ac:dyDescent="0.2">
      <c r="A6" s="4">
        <v>21000</v>
      </c>
      <c r="B6" s="5" t="s">
        <v>4</v>
      </c>
    </row>
    <row r="7" spans="1:5" ht="15" customHeight="1" x14ac:dyDescent="0.2">
      <c r="A7" s="4">
        <v>26000</v>
      </c>
      <c r="B7" s="5" t="s">
        <v>5</v>
      </c>
      <c r="E7" s="2"/>
    </row>
    <row r="8" spans="1:5" ht="15" customHeight="1" x14ac:dyDescent="0.2">
      <c r="A8" s="4"/>
      <c r="B8" s="5"/>
    </row>
    <row r="9" spans="1:5" s="3" customFormat="1" ht="30" customHeight="1" x14ac:dyDescent="0.2">
      <c r="A9" s="7" t="s">
        <v>8</v>
      </c>
      <c r="B9" s="8" t="s">
        <v>10</v>
      </c>
      <c r="C9" s="8" t="s">
        <v>9</v>
      </c>
    </row>
    <row r="10" spans="1:5" x14ac:dyDescent="0.2">
      <c r="A10" s="2">
        <f>IRR(A2:A6)</f>
        <v>-2.1244848273410888E-2</v>
      </c>
      <c r="B10" s="6">
        <f>NPV(10%,A2:A6)</f>
        <v>-17115.69627012562</v>
      </c>
      <c r="C10" s="6">
        <f>NPV(A10,A2:A6)</f>
        <v>-2.2301668404037986E-11</v>
      </c>
    </row>
    <row r="11" spans="1:5" x14ac:dyDescent="0.2">
      <c r="A11" s="2">
        <f>IRR(A2:A7)</f>
        <v>8.663094803652216E-2</v>
      </c>
      <c r="B11" s="6">
        <f>NPV(10%,A2:A7)</f>
        <v>-2439.3740887274143</v>
      </c>
      <c r="C11" s="6">
        <f>NPV(A11,A2:A7)</f>
        <v>1.7978455545908017E-9</v>
      </c>
    </row>
    <row r="12" spans="1:5" x14ac:dyDescent="0.2">
      <c r="A12" s="2">
        <f>IRR(A2:A7, 10%)</f>
        <v>8.663094803652216E-2</v>
      </c>
      <c r="B12" s="6">
        <f>NPV(10%,A2:A7)</f>
        <v>-2439.3740887274143</v>
      </c>
      <c r="C12" s="6">
        <f>NPV(A12,A2:A7)</f>
        <v>1.7978455545908017E-9</v>
      </c>
    </row>
    <row r="13" spans="1:5" x14ac:dyDescent="0.2">
      <c r="A13" s="2">
        <f>IRR(A2:A7, 5%)</f>
        <v>8.6630948036531485E-2</v>
      </c>
      <c r="B13" s="6">
        <f>NPV(5%,A2:A7)</f>
        <v>7839.5454074458949</v>
      </c>
      <c r="C13" s="6">
        <f>NPV(A13,A2:A7)</f>
        <v>2.3435603132468351E-11</v>
      </c>
    </row>
    <row r="14" spans="1:5" x14ac:dyDescent="0.2">
      <c r="A14" s="2">
        <f>IRR(A2:A4,-10%)</f>
        <v>-0.44350694133473989</v>
      </c>
      <c r="B14" s="6">
        <f>NPV(-10%,A2:A4)</f>
        <v>-42386.831275720171</v>
      </c>
      <c r="C14" s="6">
        <f>NPV(A14,A2:A4)</f>
        <v>-2.4841854272371201E-10</v>
      </c>
    </row>
    <row r="15" spans="1:5" x14ac:dyDescent="0.2">
      <c r="A15" s="2">
        <f>IRR(A2:A4,irr_guess)</f>
        <v>-0.44350694133473623</v>
      </c>
      <c r="B15" s="6">
        <f>NPV(irr_guess,A2:A4)</f>
        <v>-42892.549934392766</v>
      </c>
      <c r="C15" s="6">
        <f>NPV(A15,A2:A4)</f>
        <v>-1.6604818382058535E-9</v>
      </c>
    </row>
    <row r="16" spans="1:5" x14ac:dyDescent="0.2">
      <c r="A16" s="2">
        <f ca="1">IRR(INDIRECT("A2:A6"))</f>
        <v>-2.1244848273410888E-2</v>
      </c>
      <c r="B16" s="6">
        <f ca="1">NPV(10%,INDIRECT("A2:A6"))</f>
        <v>-17115.69627012562</v>
      </c>
      <c r="C16" s="6">
        <f ca="1">NPV(A16,INDIRECT("A2:A6"))</f>
        <v>-2.2301668404037986E-11</v>
      </c>
    </row>
    <row r="17" spans="1:3" x14ac:dyDescent="0.2">
      <c r="A17" s="2">
        <f>IRR(irr_values, irr_guess)</f>
        <v>-0.44350694133473623</v>
      </c>
      <c r="B17" s="6">
        <f>NPV(irr_guess,irr_values)</f>
        <v>-42892.549934392766</v>
      </c>
      <c r="C17" s="6">
        <f>NPV(A17,irr_values)</f>
        <v>-1.6604818382058535E-9</v>
      </c>
    </row>
    <row r="18" spans="1:3" x14ac:dyDescent="0.2">
      <c r="A18" s="2">
        <f>IRR({-70000,12000,15000}, -10%)</f>
        <v>-0.44350694133473989</v>
      </c>
      <c r="B18" s="6">
        <f>NPV(10%,-70000,12000,15000)</f>
        <v>-42449.286250939142</v>
      </c>
      <c r="C18" s="6">
        <f>NPV(A18,{-70000,12000,15000})</f>
        <v>-2.4841854272371201E-10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D8F8-B66C-2C4F-A8FE-C257B3B8B6DD}">
  <dimension ref="A1:A13"/>
  <sheetViews>
    <sheetView workbookViewId="0">
      <selection activeCell="A11" sqref="A11"/>
    </sheetView>
  </sheetViews>
  <sheetFormatPr baseColWidth="10" defaultRowHeight="15" x14ac:dyDescent="0.2"/>
  <cols>
    <col min="1" max="256" width="8.83203125" customWidth="1"/>
  </cols>
  <sheetData>
    <row r="1" spans="1:1" x14ac:dyDescent="0.2">
      <c r="A1">
        <v>1</v>
      </c>
    </row>
    <row r="2" spans="1:1" x14ac:dyDescent="0.2">
      <c r="A2" s="10" t="s">
        <v>11</v>
      </c>
    </row>
    <row r="6" spans="1:1" ht="16" x14ac:dyDescent="0.2">
      <c r="A6" s="11" t="s">
        <v>12</v>
      </c>
    </row>
    <row r="7" spans="1:1" ht="16" x14ac:dyDescent="0.2">
      <c r="A7" s="11" t="s">
        <v>13</v>
      </c>
    </row>
    <row r="8" spans="1:1" ht="16" x14ac:dyDescent="0.2">
      <c r="A8" s="11" t="s">
        <v>14</v>
      </c>
    </row>
    <row r="9" spans="1:1" ht="16" x14ac:dyDescent="0.2">
      <c r="A9" s="11" t="s">
        <v>15</v>
      </c>
    </row>
    <row r="10" spans="1:1" ht="16" x14ac:dyDescent="0.2">
      <c r="A10" s="11" t="s">
        <v>16</v>
      </c>
    </row>
    <row r="11" spans="1:1" ht="16" x14ac:dyDescent="0.2">
      <c r="A11" s="11" t="s">
        <v>17</v>
      </c>
    </row>
    <row r="12" spans="1:1" x14ac:dyDescent="0.2">
      <c r="A12" s="2" t="e">
        <f>IRR(A6:A11)</f>
        <v>#NUM!</v>
      </c>
    </row>
    <row r="13" spans="1:1" x14ac:dyDescent="0.2">
      <c r="A13" s="10">
        <f>SUM(A6:A11)</f>
        <v>0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E36C-F357-D143-A3F3-8577314D07E1}">
  <dimension ref="A1"/>
  <sheetViews>
    <sheetView workbookViewId="0"/>
  </sheetViews>
  <sheetFormatPr baseColWidth="10" defaultRowHeight="15" x14ac:dyDescent="0.2"/>
  <cols>
    <col min="1" max="256" width="8.83203125" customWidth="1"/>
  </cols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IRR-NPV</vt:lpstr>
      <vt:lpstr>Sheet2</vt:lpstr>
      <vt:lpstr>Sheet3</vt:lpstr>
      <vt:lpstr>'IRR-NPV'!a2_a6</vt:lpstr>
      <vt:lpstr>'IRR-NPV'!a2_a7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Yegor Kozlov</dc:creator>
  <cp:lastModifiedBy>Dietmar Rietsch</cp:lastModifiedBy>
  <dcterms:created xsi:type="dcterms:W3CDTF">2010-12-08T17:29:22Z</dcterms:created>
  <dcterms:modified xsi:type="dcterms:W3CDTF">2026-08-20T14:04:36Z</dcterms:modified>
</cp:coreProperties>
</file>