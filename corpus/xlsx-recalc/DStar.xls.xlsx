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DCD8E6D2-26C0-3749-AFDE-B72BFD7784D7}" xr6:coauthVersionLast="47" xr6:coauthVersionMax="47" xr10:uidLastSave="{00000000-0000-0000-0000-000000000000}"/>
  <bookViews>
    <workbookView xWindow="32760" yWindow="32760" windowWidth="19200" windowHeight="6520" activeTab="1" xr2:uid="{C8A3665F-3665-AB41-A989-D3F5D5E975FD}"/>
  </bookViews>
  <sheets>
    <sheet name="Read Me" sheetId="2" r:id="rId1"/>
    <sheet name="DSta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7" i="1"/>
  <c r="B10" i="1"/>
  <c r="B22" i="1"/>
  <c r="B21" i="1"/>
  <c r="B20" i="1"/>
  <c r="B19" i="1"/>
  <c r="B16" i="1"/>
  <c r="B15" i="1"/>
  <c r="B14" i="1"/>
  <c r="B13" i="1"/>
  <c r="B6" i="1"/>
  <c r="B9" i="1"/>
  <c r="B8" i="1"/>
  <c r="B7" i="1"/>
</calcChain>
</file>

<file path=xl/sharedStrings.xml><?xml version="1.0" encoding="utf-8"?>
<sst xmlns="http://schemas.openxmlformats.org/spreadsheetml/2006/main" count="62" uniqueCount="44">
  <si>
    <t>name</t>
  </si>
  <si>
    <t>age</t>
  </si>
  <si>
    <t>Donald</t>
  </si>
  <si>
    <t>size</t>
  </si>
  <si>
    <t>&lt;10</t>
  </si>
  <si>
    <t>&gt;100</t>
  </si>
  <si>
    <t>Formula</t>
  </si>
  <si>
    <t>database</t>
  </si>
  <si>
    <t>Sheet Comment:</t>
  </si>
  <si>
    <t>Expected Result</t>
  </si>
  <si>
    <t>Comment</t>
  </si>
  <si>
    <t>Huey</t>
  </si>
  <si>
    <t>Dewey</t>
  </si>
  <si>
    <t>Louie</t>
  </si>
  <si>
    <t>Scrooge</t>
  </si>
  <si>
    <t>&lt;end&gt;</t>
  </si>
  <si>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</si>
  <si>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</si>
  <si>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</si>
  <si>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</si>
  <si>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</si>
  <si>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</si>
  <si>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</si>
  <si>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</si>
  <si>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&lt;50</t>
  </si>
  <si>
    <t>org.apache.poi.ss.formula.functions.TestDStarFunctionsFromSpreadsheet</t>
  </si>
  <si>
    <t>D* tests</t>
  </si>
  <si>
    <t>integerresults</t>
  </si>
  <si>
    <t>no match</t>
  </si>
  <si>
    <t>non integer column</t>
  </si>
  <si>
    <t>fourty-six</t>
  </si>
  <si>
    <t>mixed column</t>
  </si>
  <si>
    <t>DMIN</t>
  </si>
  <si>
    <t>DMAX</t>
  </si>
  <si>
    <t>DSUM</t>
  </si>
  <si>
    <t>This spreadsheet contains various test cases for the functions: DMIN, DMAX, DSUM</t>
  </si>
  <si>
    <t>&lt;&gt;70</t>
  </si>
  <si>
    <t>&lt;&gt;45</t>
  </si>
  <si>
    <t>min without 45</t>
  </si>
  <si>
    <t>max without 70</t>
  </si>
  <si>
    <t>=donald</t>
  </si>
  <si>
    <t>&lt;&gt;donald</t>
  </si>
  <si>
    <t>string equal</t>
  </si>
  <si>
    <t>string other 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</si>
</sst>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7A8D-149B-5E4D-B43E-26F42E759C4D}">
  <dimension ref="A1:A11"/>
  <sheetViews>
    <sheetView workbookViewId="0"/>
  </sheetViews>
  <sheetFormatPr baseColWidth="10" defaultColWidth="11.5" defaultRowHeight="15" x14ac:dyDescent="0.2"/>
  <cols>
    <col min="1" max="1" width="107.6640625" bestFit="1" customWidth="1"/>
  </cols>
  <sheetData>
    <row r="1" spans="1:1" x14ac:dyDescent="0.2">
      <c r="A1" t="s">
        <v>35</v>
      </c>
    </row>
    <row r="2" spans="1:1" x14ac:dyDescent="0.2">
      <c r="A2" t="s">
        <v>16</v>
      </c>
    </row>
    <row r="3" spans="1:1" x14ac:dyDescent="0.2">
      <c r="A3" t="s">
        <v>25</v>
      </c>
    </row>
    <row r="4" spans="1:1" x14ac:dyDescent="0.2">
      <c r="A4" t="s">
        <v>17</v>
      </c>
    </row>
    <row r="6" spans="1:1" x14ac:dyDescent="0.2">
      <c r="A6" t="s">
        <v>18</v>
      </c>
    </row>
    <row r="7" spans="1:1" x14ac:dyDescent="0.2">
      <c r="A7" t="s">
        <v>19</v>
      </c>
    </row>
    <row r="8" spans="1:1" ht="32" x14ac:dyDescent="0.2">
      <c r="A8" s="2" t="s">
        <v>20</v>
      </c>
    </row>
    <row r="9" spans="1:1" ht="32" x14ac:dyDescent="0.2">
      <c r="A9" s="3" t="s">
        <v>21</v>
      </c>
    </row>
    <row r="10" spans="1:1" ht="32" x14ac:dyDescent="0.2">
      <c r="A10" s="2" t="s">
        <v>22</v>
      </c>
    </row>
    <row r="11" spans="1:1" ht="32" x14ac:dyDescent="0.2">
      <c r="A11" s="2" t="s">
        <v>23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77C5-7939-C94A-8A54-8E3C38AECB60}">
  <dimension ref="A1:K62"/>
  <sheetViews>
    <sheetView tabSelected="1" topLeftCell="A4" workbookViewId="0">
      <selection activeCell="F21" sqref="F21"/>
    </sheetView>
  </sheetViews>
  <sheetFormatPr baseColWidth="10" defaultColWidth="11.5" defaultRowHeight="15" x14ac:dyDescent="0.2"/>
  <cols>
    <col min="1" max="1" width="32.5" bestFit="1" customWidth="1"/>
    <col min="2" max="2" width="15.83203125" bestFit="1" customWidth="1"/>
    <col min="3" max="3" width="15.1640625" bestFit="1" customWidth="1"/>
    <col min="4" max="4" width="9.6640625" bestFit="1" customWidth="1"/>
  </cols>
  <sheetData>
    <row r="1" spans="1:8" x14ac:dyDescent="0.2">
      <c r="B1" s="1" t="s">
        <v>8</v>
      </c>
      <c r="C1" t="s">
        <v>26</v>
      </c>
      <c r="F1" s="1" t="s">
        <v>7</v>
      </c>
    </row>
    <row r="2" spans="1:8" x14ac:dyDescent="0.2">
      <c r="F2" t="s">
        <v>0</v>
      </c>
      <c r="G2" t="s">
        <v>1</v>
      </c>
      <c r="H2" t="s">
        <v>3</v>
      </c>
    </row>
    <row r="3" spans="1:8" x14ac:dyDescent="0.2">
      <c r="B3" s="1" t="s">
        <v>6</v>
      </c>
      <c r="C3" s="1" t="s">
        <v>9</v>
      </c>
      <c r="D3" s="1" t="s">
        <v>10</v>
      </c>
      <c r="F3" t="s">
        <v>11</v>
      </c>
      <c r="G3">
        <v>8</v>
      </c>
      <c r="H3">
        <v>45</v>
      </c>
    </row>
    <row r="4" spans="1:8" x14ac:dyDescent="0.2">
      <c r="F4" t="s">
        <v>12</v>
      </c>
      <c r="G4">
        <v>7</v>
      </c>
      <c r="H4" t="s">
        <v>30</v>
      </c>
    </row>
    <row r="5" spans="1:8" x14ac:dyDescent="0.2">
      <c r="A5" s="1" t="s">
        <v>32</v>
      </c>
      <c r="F5" t="s">
        <v>13</v>
      </c>
      <c r="G5">
        <v>6</v>
      </c>
      <c r="H5">
        <v>47</v>
      </c>
    </row>
    <row r="6" spans="1:8" x14ac:dyDescent="0.2">
      <c r="B6">
        <f>DMIN($F$2:$H$7,"age",F26:F27)</f>
        <v>6</v>
      </c>
      <c r="C6">
        <v>6</v>
      </c>
      <c r="D6" t="s">
        <v>27</v>
      </c>
      <c r="F6" t="s">
        <v>2</v>
      </c>
      <c r="G6">
        <v>32</v>
      </c>
      <c r="H6">
        <v>70</v>
      </c>
    </row>
    <row r="7" spans="1:8" x14ac:dyDescent="0.2">
      <c r="B7">
        <f>DMIN($F$2:$H$7,"age",G26:G27)</f>
        <v>0</v>
      </c>
      <c r="C7">
        <v>0</v>
      </c>
      <c r="D7" t="s">
        <v>28</v>
      </c>
      <c r="F7" t="s">
        <v>14</v>
      </c>
      <c r="G7">
        <v>62</v>
      </c>
      <c r="H7">
        <v>65</v>
      </c>
    </row>
    <row r="8" spans="1:8" x14ac:dyDescent="0.2">
      <c r="B8">
        <f>DMIN($F$2:$H$7,"name",H26:H27)</f>
        <v>0</v>
      </c>
      <c r="C8">
        <v>0</v>
      </c>
      <c r="D8" t="s">
        <v>29</v>
      </c>
      <c r="F8" t="s">
        <v>2</v>
      </c>
      <c r="G8">
        <v>32</v>
      </c>
      <c r="H8">
        <v>70</v>
      </c>
    </row>
    <row r="9" spans="1:8" x14ac:dyDescent="0.2">
      <c r="B9">
        <f>DMIN($F$2:$H$7,"size",I26:I27)</f>
        <v>45</v>
      </c>
      <c r="C9">
        <v>45</v>
      </c>
      <c r="D9" t="s">
        <v>31</v>
      </c>
    </row>
    <row r="10" spans="1:8" x14ac:dyDescent="0.2">
      <c r="B10">
        <f>DMIN($F$2:$H$7,"size",J26:J27)</f>
        <v>47</v>
      </c>
      <c r="C10">
        <v>47</v>
      </c>
      <c r="D10" t="s">
        <v>38</v>
      </c>
    </row>
    <row r="12" spans="1:8" x14ac:dyDescent="0.2">
      <c r="A12" s="1" t="s">
        <v>33</v>
      </c>
    </row>
    <row r="13" spans="1:8" x14ac:dyDescent="0.2">
      <c r="B13">
        <f>DMAX($F$2:$H$7,"age",F26:F27)</f>
        <v>8</v>
      </c>
      <c r="C13">
        <v>8</v>
      </c>
      <c r="D13" t="s">
        <v>27</v>
      </c>
    </row>
    <row r="14" spans="1:8" x14ac:dyDescent="0.2">
      <c r="B14">
        <f>DMAX($F$2:$H$7,"age",G26:G27)</f>
        <v>0</v>
      </c>
      <c r="C14">
        <v>0</v>
      </c>
      <c r="D14" t="s">
        <v>28</v>
      </c>
    </row>
    <row r="15" spans="1:8" x14ac:dyDescent="0.2">
      <c r="B15">
        <f>DMAX($F$2:$H$7,"name",H26:H27)</f>
        <v>0</v>
      </c>
      <c r="C15">
        <v>0</v>
      </c>
      <c r="D15" t="s">
        <v>29</v>
      </c>
    </row>
    <row r="16" spans="1:8" x14ac:dyDescent="0.2">
      <c r="B16">
        <f>DMAX($F$2:$H$7,"size",I26:I27)</f>
        <v>47</v>
      </c>
      <c r="C16">
        <v>47</v>
      </c>
      <c r="D16" t="s">
        <v>31</v>
      </c>
    </row>
    <row r="17" spans="1:11" x14ac:dyDescent="0.2">
      <c r="B17">
        <f>DMAX($F$2:$H$7,"size",K26:K27)</f>
        <v>65</v>
      </c>
      <c r="C17">
        <v>65</v>
      </c>
      <c r="D17" t="s">
        <v>39</v>
      </c>
    </row>
    <row r="18" spans="1:11" x14ac:dyDescent="0.2">
      <c r="A18" s="1" t="s">
        <v>34</v>
      </c>
    </row>
    <row r="19" spans="1:11" x14ac:dyDescent="0.2">
      <c r="B19">
        <f>DSUM($F$2:$H$7,"age",F26:F27)</f>
        <v>21</v>
      </c>
      <c r="C19">
        <v>21</v>
      </c>
      <c r="D19" t="s">
        <v>27</v>
      </c>
    </row>
    <row r="20" spans="1:11" x14ac:dyDescent="0.2">
      <c r="B20">
        <f>DSUM($F$2:$H$7,"age",G26:G27)</f>
        <v>0</v>
      </c>
      <c r="C20">
        <v>0</v>
      </c>
      <c r="D20" t="s">
        <v>28</v>
      </c>
    </row>
    <row r="21" spans="1:11" x14ac:dyDescent="0.2">
      <c r="B21">
        <f>DSUM($F$2:$H$7,"name",H26:H27)</f>
        <v>0</v>
      </c>
      <c r="C21">
        <v>0</v>
      </c>
      <c r="D21" t="s">
        <v>29</v>
      </c>
    </row>
    <row r="22" spans="1:11" x14ac:dyDescent="0.2">
      <c r="B22">
        <f>DSUM($F$2:$H$7,"size",I26:I27)</f>
        <v>92</v>
      </c>
      <c r="C22">
        <v>92</v>
      </c>
      <c r="D22" t="s">
        <v>31</v>
      </c>
    </row>
    <row r="23" spans="1:11" x14ac:dyDescent="0.2">
      <c r="B23">
        <f>DSUM($F$2:$H$8,"age",F29:F30)</f>
        <v>64</v>
      </c>
      <c r="C23">
        <v>64</v>
      </c>
      <c r="D23" t="s">
        <v>42</v>
      </c>
    </row>
    <row r="24" spans="1:11" x14ac:dyDescent="0.2">
      <c r="B24">
        <f>DSUM($F$2:$H$7,"age",G29:G30)</f>
        <v>83</v>
      </c>
      <c r="C24">
        <v>83</v>
      </c>
      <c r="D24" t="s">
        <v>43</v>
      </c>
    </row>
    <row r="26" spans="1:11" x14ac:dyDescent="0.2">
      <c r="A26" t="s">
        <v>15</v>
      </c>
      <c r="F26" t="s">
        <v>1</v>
      </c>
      <c r="G26" t="s">
        <v>1</v>
      </c>
      <c r="H26" t="s">
        <v>3</v>
      </c>
      <c r="I26" t="s">
        <v>3</v>
      </c>
      <c r="J26" t="s">
        <v>3</v>
      </c>
      <c r="K26" t="s">
        <v>3</v>
      </c>
    </row>
    <row r="27" spans="1:11" x14ac:dyDescent="0.2">
      <c r="F27" t="s">
        <v>4</v>
      </c>
      <c r="G27" t="s">
        <v>5</v>
      </c>
      <c r="H27" t="s">
        <v>24</v>
      </c>
      <c r="I27" t="s">
        <v>24</v>
      </c>
      <c r="J27" t="s">
        <v>37</v>
      </c>
      <c r="K27" t="s">
        <v>36</v>
      </c>
    </row>
    <row r="29" spans="1:11" x14ac:dyDescent="0.2">
      <c r="F29" t="s">
        <v>0</v>
      </c>
      <c r="G29" t="s">
        <v>0</v>
      </c>
    </row>
    <row r="30" spans="1:11" x14ac:dyDescent="0.2">
      <c r="F30" s="4" t="s">
        <v>40</v>
      </c>
      <c r="G30" t="s">
        <v>41</v>
      </c>
    </row>
    <row r="31" spans="1:11" x14ac:dyDescent="0.2">
      <c r="F31" s="1"/>
    </row>
    <row r="32" spans="1:11" x14ac:dyDescent="0.2">
      <c r="F32" s="1"/>
    </row>
    <row r="34" spans="1:6" x14ac:dyDescent="0.2">
      <c r="A34" s="1"/>
    </row>
    <row r="39" spans="1:6" x14ac:dyDescent="0.2">
      <c r="F39" s="1"/>
    </row>
    <row r="40" spans="1:6" x14ac:dyDescent="0.2">
      <c r="F40" s="1"/>
    </row>
    <row r="44" spans="1:6" x14ac:dyDescent="0.2">
      <c r="F44" s="1"/>
    </row>
    <row r="47" spans="1:6" x14ac:dyDescent="0.2">
      <c r="F47" s="1"/>
    </row>
    <row r="48" spans="1:6" x14ac:dyDescent="0.2">
      <c r="F48" s="1"/>
    </row>
    <row r="51" spans="1:6" x14ac:dyDescent="0.2">
      <c r="F51" s="1"/>
    </row>
    <row r="53" spans="1:6" x14ac:dyDescent="0.2">
      <c r="F53" s="1"/>
    </row>
    <row r="54" spans="1:6" x14ac:dyDescent="0.2">
      <c r="F54" s="1"/>
    </row>
    <row r="56" spans="1:6" x14ac:dyDescent="0.2">
      <c r="A56" s="1"/>
    </row>
    <row r="62" spans="1:6" x14ac:dyDescent="0.2">
      <c r="A62" s="1"/>
    </row>
  </sheetData>
  <pageMargins left="0.7" right="0.7" top="0.78740157499999996" bottom="0.78740157499999996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 Me</vt:lpstr>
      <vt:lpstr>DStar</vt:lpstr>
    </vt:vector>
  </TitlesOfParts>
  <Company>HALTEC Hallensyteme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Zimmermann Patrick</dc:creator>
  <cp:lastModifiedBy>Dietmar Rietsch</cp:lastModifiedBy>
  <dcterms:created xsi:type="dcterms:W3CDTF">2014-09-18T12:02:20Z</dcterms:created>
  <dcterms:modified xsi:type="dcterms:W3CDTF">2026-08-20T14:04:09Z</dcterms:modified>
</cp:coreProperties>
</file>