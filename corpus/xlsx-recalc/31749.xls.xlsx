
<file path=[Content_Types].xml><?xml version="1.0" encoding="utf-8"?>
<Types xmlns="http://schemas.openxmlformats.org/package/2006/content-types">
  <Default Extension="bin" ContentType="application/vnd.ms-excel.attachedToolbar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UW_Workbook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3FE50AE2-218C-114D-AD3E-6F1BA4DA66CD}" xr6:coauthVersionLast="47" xr6:coauthVersionMax="47" xr10:uidLastSave="{00000000-0000-0000-0000-000000000000}"/>
  <bookViews>
    <workbookView xWindow="32760" yWindow="32660" windowWidth="12220" windowHeight="9280" tabRatio="900" xr2:uid="{B3E1EA05-A9A8-414A-A377-680CEF204B66}"/>
  </bookViews>
  <sheets>
    <sheet name="_Proj" sheetId="114" r:id="rId1"/>
  </sheets>
  <definedNames>
    <definedName name="_Base_Year" localSheetId="0">_Proj!$C$3</definedName>
    <definedName name="_Formulas" localSheetId="0">_Proj!$H$3:$H$204</definedName>
    <definedName name="_Line_Item_Name_Column" localSheetId="0">_Proj!$A$4:$B$204</definedName>
    <definedName name="_Line_Type_Column" localSheetId="0">_Proj!$G$4:$G$201</definedName>
    <definedName name="_Num_Years" localSheetId="0">_Proj!$C$1</definedName>
    <definedName name="_Projection" localSheetId="0">_Proj!$C$3:$E$204</definedName>
    <definedName name="_Template" localSheetId="0">_Proj!$E$3:$E$204</definedName>
    <definedName name="Active_ProForma">#REF!</definedName>
    <definedName name="Amount_Column" localSheetId="0">_Proj!$C$4:$C$204</definedName>
    <definedName name="Auto_Calc_Method_List">#REF!</definedName>
    <definedName name="Loan_Info">#REF!</definedName>
    <definedName name="Loan_Number">#REF!</definedName>
    <definedName name="Mortgage_ID">#REF!</definedName>
    <definedName name="Non_Rev_Unit_Type_List">#REF!</definedName>
    <definedName name="Property_Type_Code">#REF!</definedName>
    <definedName name="Property_Type_Filter" localSheetId="0">_Proj!$I$4:$I$201</definedName>
    <definedName name="Property_Type_List">#REF!</definedName>
    <definedName name="Property_Types">#REF!</definedName>
    <definedName name="RR_Total_Area">#REF!</definedName>
    <definedName name="RR_Total_Beds">#REF!</definedName>
    <definedName name="RR_Total_Rooms">#REF!</definedName>
    <definedName name="RR_Total_Rooms2">#REF!</definedName>
    <definedName name="RR_Total_Units">#REF!</definedName>
    <definedName name="RR_Total_Units2">#REF!</definedName>
    <definedName name="Senior_Housing_Unit_Type_List">#REF!</definedName>
    <definedName name="Sheet_IE_Summary">#REF!</definedName>
    <definedName name="Subsidy_Type_List">#REF!</definedName>
    <definedName name="Tab_Definitions">#REF!</definedName>
    <definedName name="Tab_Type" localSheetId="0">_Proj!$G$2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4" l="1"/>
  <c r="H3" i="114"/>
  <c r="J3" i="114"/>
  <c r="H4" i="114"/>
  <c r="H10" i="114" s="1"/>
  <c r="C5" i="114"/>
  <c r="H5" i="114"/>
  <c r="J5" i="114"/>
  <c r="C6" i="114"/>
  <c r="H6" i="114"/>
  <c r="J6" i="114"/>
  <c r="C7" i="114"/>
  <c r="H7" i="114"/>
  <c r="J7" i="114"/>
  <c r="C8" i="114"/>
  <c r="H8" i="114"/>
  <c r="J8" i="114"/>
  <c r="C9" i="114"/>
  <c r="H9" i="114"/>
  <c r="J9" i="114"/>
  <c r="C10" i="114"/>
  <c r="J10" i="114"/>
  <c r="C11" i="114"/>
  <c r="H11" i="114"/>
  <c r="J11" i="114"/>
  <c r="H12" i="114"/>
  <c r="H27" i="114" s="1"/>
  <c r="C13" i="114"/>
  <c r="H13" i="114"/>
  <c r="J13" i="114"/>
  <c r="C14" i="114"/>
  <c r="H14" i="114"/>
  <c r="J14" i="114"/>
  <c r="C15" i="114"/>
  <c r="J15" i="114"/>
  <c r="C16" i="114"/>
  <c r="J16" i="114"/>
  <c r="C17" i="114"/>
  <c r="J17" i="114"/>
  <c r="C18" i="114"/>
  <c r="H18" i="114"/>
  <c r="J18" i="114"/>
  <c r="C19" i="114"/>
  <c r="H19" i="114"/>
  <c r="C20" i="114"/>
  <c r="H20" i="114"/>
  <c r="C21" i="114"/>
  <c r="J21" i="114"/>
  <c r="C22" i="114"/>
  <c r="J22" i="114"/>
  <c r="C23" i="114"/>
  <c r="C24" i="114"/>
  <c r="H24" i="114"/>
  <c r="J24" i="114"/>
  <c r="C25" i="114"/>
  <c r="H25" i="114"/>
  <c r="J25" i="114"/>
  <c r="C26" i="114"/>
  <c r="H26" i="114"/>
  <c r="J26" i="114"/>
  <c r="C27" i="114"/>
  <c r="J27" i="114"/>
  <c r="C28" i="114"/>
  <c r="J28" i="114"/>
  <c r="C29" i="114"/>
  <c r="J29" i="114"/>
  <c r="C30" i="114"/>
  <c r="H30" i="114"/>
  <c r="J30" i="114"/>
  <c r="C31" i="114"/>
  <c r="H31" i="114"/>
  <c r="J31" i="114"/>
  <c r="C32" i="114"/>
  <c r="J32" i="114"/>
  <c r="C33" i="114"/>
  <c r="J33" i="114"/>
  <c r="C34" i="114"/>
  <c r="J34" i="114"/>
  <c r="C35" i="114"/>
  <c r="H35" i="114"/>
  <c r="J35" i="114"/>
  <c r="H36" i="114"/>
  <c r="H37" i="114" s="1"/>
  <c r="J36" i="114"/>
  <c r="C37" i="114"/>
  <c r="J37" i="114"/>
  <c r="C38" i="114"/>
  <c r="J38" i="114"/>
  <c r="H39" i="114"/>
  <c r="J39" i="114"/>
  <c r="C40" i="114"/>
  <c r="H40" i="114"/>
  <c r="J40" i="114"/>
  <c r="C41" i="114"/>
  <c r="H41" i="114"/>
  <c r="J41" i="114"/>
  <c r="H42" i="114"/>
  <c r="H44" i="114" s="1"/>
  <c r="J42" i="114"/>
  <c r="C43" i="114"/>
  <c r="J43" i="114"/>
  <c r="C44" i="114"/>
  <c r="J44" i="114"/>
  <c r="C45" i="114"/>
  <c r="J45" i="114"/>
  <c r="H46" i="114"/>
  <c r="H49" i="114" s="1"/>
  <c r="J46" i="114"/>
  <c r="C47" i="114"/>
  <c r="H47" i="114"/>
  <c r="J47" i="114"/>
  <c r="C48" i="114"/>
  <c r="H48" i="114"/>
  <c r="J48" i="114"/>
  <c r="C49" i="114"/>
  <c r="J49" i="114"/>
  <c r="C50" i="114"/>
  <c r="J50" i="114"/>
  <c r="C51" i="114"/>
  <c r="J51" i="114"/>
  <c r="C52" i="114"/>
  <c r="H52" i="114"/>
  <c r="J52" i="114"/>
  <c r="C53" i="114"/>
  <c r="H53" i="114"/>
  <c r="J53" i="114"/>
  <c r="H54" i="114"/>
  <c r="H55" i="114" s="1"/>
  <c r="J54" i="114"/>
  <c r="C55" i="114"/>
  <c r="J55" i="114"/>
  <c r="C56" i="114"/>
  <c r="J56" i="114"/>
  <c r="C57" i="114"/>
  <c r="H57" i="114"/>
  <c r="J57" i="114"/>
  <c r="C58" i="114"/>
  <c r="J58" i="114"/>
  <c r="H59" i="114"/>
  <c r="J59" i="114"/>
  <c r="H60" i="114"/>
  <c r="H63" i="114" s="1"/>
  <c r="J60" i="114"/>
  <c r="C61" i="114"/>
  <c r="J61" i="114"/>
  <c r="C62" i="114"/>
  <c r="J62" i="114"/>
  <c r="C63" i="114"/>
  <c r="J63" i="114"/>
  <c r="C64" i="114"/>
  <c r="J64" i="114"/>
  <c r="C65" i="114"/>
  <c r="J65" i="114"/>
  <c r="C66" i="114"/>
  <c r="J66" i="114"/>
  <c r="H67" i="114"/>
  <c r="H74" i="114" s="1"/>
  <c r="J67" i="114"/>
  <c r="H68" i="114"/>
  <c r="J68" i="114"/>
  <c r="C69" i="114"/>
  <c r="H69" i="114"/>
  <c r="J69" i="114"/>
  <c r="C70" i="114"/>
  <c r="H70" i="114"/>
  <c r="J70" i="114"/>
  <c r="H71" i="114"/>
  <c r="J71" i="114"/>
  <c r="C72" i="114"/>
  <c r="H72" i="114"/>
  <c r="J72" i="114"/>
  <c r="C73" i="114"/>
  <c r="H73" i="114"/>
  <c r="J73" i="114"/>
  <c r="C74" i="114"/>
  <c r="J74" i="114"/>
  <c r="H75" i="114"/>
  <c r="H78" i="114" s="1"/>
  <c r="J75" i="114"/>
  <c r="C76" i="114"/>
  <c r="H76" i="114"/>
  <c r="J76" i="114"/>
  <c r="C77" i="114"/>
  <c r="H77" i="114"/>
  <c r="J77" i="114"/>
  <c r="C78" i="114"/>
  <c r="J78" i="114"/>
  <c r="C79" i="114"/>
  <c r="J79" i="114"/>
  <c r="C80" i="114"/>
  <c r="J80" i="114"/>
  <c r="C81" i="114"/>
  <c r="H81" i="114"/>
  <c r="J81" i="114"/>
  <c r="C82" i="114"/>
  <c r="H82" i="114"/>
  <c r="J82" i="114"/>
  <c r="H83" i="114"/>
  <c r="H84" i="114" s="1"/>
  <c r="J83" i="114"/>
  <c r="C84" i="114"/>
  <c r="J84" i="114"/>
  <c r="C85" i="114"/>
  <c r="J85" i="114"/>
  <c r="H86" i="114"/>
  <c r="H90" i="114" s="1"/>
  <c r="J86" i="114"/>
  <c r="C87" i="114"/>
  <c r="H87" i="114"/>
  <c r="J87" i="114"/>
  <c r="C88" i="114"/>
  <c r="H88" i="114"/>
  <c r="J88" i="114"/>
  <c r="C89" i="114"/>
  <c r="H89" i="114"/>
  <c r="J89" i="114"/>
  <c r="C90" i="114"/>
  <c r="J90" i="114"/>
  <c r="C91" i="114"/>
  <c r="J91" i="114"/>
  <c r="H92" i="114"/>
  <c r="J92" i="114"/>
  <c r="C93" i="114"/>
  <c r="H93" i="114"/>
  <c r="J93" i="114"/>
  <c r="C94" i="114"/>
  <c r="H94" i="114"/>
  <c r="J94" i="114"/>
  <c r="H95" i="114"/>
  <c r="H101" i="114" s="1"/>
  <c r="J95" i="114"/>
  <c r="C96" i="114"/>
  <c r="J96" i="114"/>
  <c r="C97" i="114"/>
  <c r="J97" i="114"/>
  <c r="C98" i="114"/>
  <c r="J98" i="114"/>
  <c r="C99" i="114"/>
  <c r="J99" i="114"/>
  <c r="C100" i="114"/>
  <c r="H100" i="114"/>
  <c r="J100" i="114"/>
  <c r="C101" i="114"/>
  <c r="J101" i="114"/>
  <c r="C102" i="114"/>
  <c r="J102" i="114"/>
  <c r="C103" i="114"/>
  <c r="J103" i="114"/>
  <c r="C104" i="114"/>
  <c r="J104" i="114"/>
  <c r="C105" i="114"/>
  <c r="H105" i="114"/>
  <c r="J105" i="114"/>
  <c r="H106" i="114"/>
  <c r="H107" i="114" s="1"/>
  <c r="J106" i="114"/>
  <c r="C107" i="114"/>
  <c r="J107" i="114"/>
  <c r="C108" i="114"/>
  <c r="J108" i="114"/>
  <c r="C109" i="114"/>
  <c r="H109" i="114"/>
  <c r="J109" i="114"/>
  <c r="H110" i="114"/>
  <c r="H112" i="114" s="1"/>
  <c r="J110" i="114"/>
  <c r="C111" i="114"/>
  <c r="H111" i="114"/>
  <c r="J111" i="114"/>
  <c r="C112" i="114"/>
  <c r="J112" i="114"/>
  <c r="C113" i="114"/>
  <c r="J113" i="114"/>
  <c r="C114" i="114"/>
  <c r="J114" i="114"/>
  <c r="C115" i="114"/>
  <c r="J115" i="114"/>
  <c r="C116" i="114"/>
  <c r="H116" i="114"/>
  <c r="J116" i="114"/>
  <c r="H117" i="114"/>
  <c r="H118" i="114" s="1"/>
  <c r="H119" i="114" s="1"/>
  <c r="J117" i="114"/>
  <c r="C118" i="114"/>
  <c r="J118" i="114"/>
  <c r="C119" i="114"/>
  <c r="J119" i="114"/>
  <c r="H120" i="114"/>
  <c r="H124" i="114" s="1"/>
  <c r="J120" i="114"/>
  <c r="C121" i="114"/>
  <c r="H121" i="114"/>
  <c r="J121" i="114"/>
  <c r="C122" i="114"/>
  <c r="H122" i="114"/>
  <c r="J122" i="114"/>
  <c r="C123" i="114"/>
  <c r="H123" i="114"/>
  <c r="J123" i="114"/>
  <c r="C124" i="114"/>
  <c r="J124" i="114"/>
  <c r="C125" i="114"/>
  <c r="J125" i="114"/>
  <c r="C126" i="114"/>
  <c r="H126" i="114"/>
  <c r="J126" i="114"/>
  <c r="C127" i="114"/>
  <c r="H127" i="114"/>
  <c r="J127" i="114"/>
  <c r="C128" i="114"/>
  <c r="H128" i="114"/>
  <c r="J128" i="114"/>
  <c r="C129" i="114"/>
  <c r="J129" i="114"/>
  <c r="C130" i="114"/>
  <c r="J130" i="114"/>
  <c r="H131" i="114"/>
  <c r="J131" i="114"/>
  <c r="C132" i="114"/>
  <c r="H132" i="114"/>
  <c r="J132" i="114"/>
  <c r="C133" i="114"/>
  <c r="H133" i="114"/>
  <c r="J133" i="114"/>
  <c r="H134" i="114"/>
  <c r="H160" i="114" s="1"/>
  <c r="J134" i="114"/>
  <c r="H135" i="114"/>
  <c r="J135" i="114"/>
  <c r="C136" i="114"/>
  <c r="H136" i="114"/>
  <c r="J136" i="114"/>
  <c r="C137" i="114"/>
  <c r="H137" i="114"/>
  <c r="J137" i="114"/>
  <c r="C138" i="114"/>
  <c r="H138" i="114"/>
  <c r="J138" i="114"/>
  <c r="C139" i="114"/>
  <c r="H139" i="114"/>
  <c r="J139" i="114"/>
  <c r="C140" i="114"/>
  <c r="H140" i="114"/>
  <c r="J140" i="114"/>
  <c r="C141" i="114"/>
  <c r="H141" i="114"/>
  <c r="J141" i="114"/>
  <c r="C142" i="114"/>
  <c r="H142" i="114"/>
  <c r="J142" i="114"/>
  <c r="C143" i="114"/>
  <c r="H143" i="114"/>
  <c r="J143" i="114"/>
  <c r="H144" i="114"/>
  <c r="J144" i="114"/>
  <c r="C145" i="114"/>
  <c r="H145" i="114"/>
  <c r="J145" i="114"/>
  <c r="C146" i="114"/>
  <c r="H146" i="114"/>
  <c r="J146" i="114"/>
  <c r="H147" i="114"/>
  <c r="H152" i="114" s="1"/>
  <c r="J147" i="114"/>
  <c r="C148" i="114"/>
  <c r="J148" i="114"/>
  <c r="C149" i="114"/>
  <c r="H149" i="114"/>
  <c r="J149" i="114"/>
  <c r="C150" i="114"/>
  <c r="H150" i="114"/>
  <c r="J150" i="114"/>
  <c r="C151" i="114"/>
  <c r="H151" i="114"/>
  <c r="J151" i="114"/>
  <c r="C152" i="114"/>
  <c r="J152" i="114"/>
  <c r="C153" i="114"/>
  <c r="J153" i="114"/>
  <c r="C154" i="114"/>
  <c r="H154" i="114"/>
  <c r="J154" i="114"/>
  <c r="C155" i="114"/>
  <c r="H155" i="114"/>
  <c r="J155" i="114"/>
  <c r="C156" i="114"/>
  <c r="H156" i="114"/>
  <c r="J156" i="114"/>
  <c r="H157" i="114"/>
  <c r="H158" i="114" s="1"/>
  <c r="J157" i="114"/>
  <c r="C158" i="114"/>
  <c r="J158" i="114"/>
  <c r="C159" i="114"/>
  <c r="J159" i="114"/>
  <c r="C160" i="114"/>
  <c r="J160" i="114"/>
  <c r="H161" i="114"/>
  <c r="H163" i="114" s="1"/>
  <c r="J161" i="114"/>
  <c r="C162" i="114"/>
  <c r="H162" i="114"/>
  <c r="J162" i="114"/>
  <c r="C163" i="114"/>
  <c r="J163" i="114"/>
  <c r="H164" i="114"/>
  <c r="H165" i="114" s="1"/>
  <c r="J164" i="114"/>
  <c r="C165" i="114"/>
  <c r="J165" i="114"/>
  <c r="C166" i="114"/>
  <c r="J166" i="114"/>
  <c r="C167" i="114"/>
  <c r="H167" i="114"/>
  <c r="J167" i="114"/>
  <c r="C168" i="114"/>
  <c r="H168" i="114"/>
  <c r="J168" i="114"/>
  <c r="H169" i="114"/>
  <c r="J169" i="114"/>
  <c r="C170" i="114"/>
  <c r="H170" i="114"/>
  <c r="J170" i="114"/>
  <c r="C171" i="114"/>
  <c r="H171" i="114"/>
  <c r="J171" i="114"/>
  <c r="H172" i="114"/>
  <c r="H180" i="114" s="1"/>
  <c r="J172" i="114"/>
  <c r="C173" i="114"/>
  <c r="H173" i="114"/>
  <c r="J173" i="114"/>
  <c r="C174" i="114"/>
  <c r="H174" i="114"/>
  <c r="J174" i="114"/>
  <c r="C175" i="114"/>
  <c r="J175" i="114"/>
  <c r="C176" i="114"/>
  <c r="J176" i="114"/>
  <c r="C177" i="114"/>
  <c r="J177" i="114"/>
  <c r="C178" i="114"/>
  <c r="H178" i="114"/>
  <c r="J178" i="114"/>
  <c r="C179" i="114"/>
  <c r="H179" i="114"/>
  <c r="J179" i="114"/>
  <c r="C180" i="114"/>
  <c r="J180" i="114"/>
  <c r="H181" i="114"/>
  <c r="H186" i="114" s="1"/>
  <c r="J181" i="114"/>
  <c r="C182" i="114"/>
  <c r="J182" i="114"/>
  <c r="C183" i="114"/>
  <c r="J183" i="114"/>
  <c r="C184" i="114"/>
  <c r="J184" i="114"/>
  <c r="C185" i="114"/>
  <c r="J185" i="114"/>
  <c r="C186" i="114"/>
  <c r="J186" i="114"/>
  <c r="C187" i="114"/>
  <c r="J187" i="114"/>
  <c r="H188" i="114"/>
  <c r="H192" i="114" s="1"/>
  <c r="J188" i="114"/>
  <c r="C189" i="114"/>
  <c r="H189" i="114"/>
  <c r="H194" i="114" s="1"/>
  <c r="H195" i="114" s="1"/>
  <c r="J189" i="114"/>
  <c r="C190" i="114"/>
  <c r="H190" i="114"/>
  <c r="J190" i="114"/>
  <c r="C191" i="114"/>
  <c r="H191" i="114"/>
  <c r="J191" i="114"/>
  <c r="C192" i="114"/>
  <c r="J192" i="114"/>
  <c r="C193" i="114"/>
  <c r="J193" i="114"/>
  <c r="C194" i="114"/>
  <c r="J194" i="114"/>
  <c r="C195" i="114"/>
  <c r="J195" i="114"/>
  <c r="H196" i="114"/>
  <c r="H197" i="114" s="1"/>
  <c r="J196" i="114"/>
  <c r="C197" i="114"/>
  <c r="H200" i="114" s="1"/>
  <c r="J197" i="114"/>
  <c r="H198" i="114"/>
  <c r="J198" i="114"/>
  <c r="C199" i="114"/>
  <c r="H199" i="114"/>
  <c r="J199" i="114"/>
  <c r="C200" i="114"/>
  <c r="J200" i="114"/>
  <c r="C201" i="114"/>
  <c r="J201" i="114"/>
  <c r="J202" i="114"/>
  <c r="C203" i="114"/>
  <c r="J203" i="114"/>
  <c r="C204" i="114"/>
  <c r="J204" i="114"/>
  <c r="J205" i="114"/>
  <c r="J206" i="114"/>
  <c r="J207" i="114"/>
  <c r="J208" i="114"/>
  <c r="J209" i="114"/>
  <c r="J210" i="114"/>
  <c r="J211" i="114"/>
  <c r="J212" i="114"/>
  <c r="J213" i="114"/>
  <c r="J214" i="114"/>
  <c r="J215" i="114"/>
  <c r="J216" i="114"/>
  <c r="J217" i="114"/>
  <c r="J218" i="114"/>
  <c r="J219" i="114"/>
  <c r="J220" i="114"/>
  <c r="J221" i="114"/>
  <c r="J222" i="114"/>
  <c r="J223" i="114"/>
  <c r="J224" i="114"/>
  <c r="J225" i="114"/>
  <c r="J226" i="114"/>
  <c r="J227" i="114"/>
  <c r="J228" i="114"/>
  <c r="J229" i="114"/>
  <c r="J230" i="114"/>
  <c r="J231" i="114"/>
  <c r="J232" i="114"/>
  <c r="J233" i="114"/>
  <c r="J234" i="114"/>
  <c r="J235" i="114"/>
  <c r="J236" i="114"/>
  <c r="J237" i="114"/>
  <c r="H201" i="114" l="1"/>
  <c r="H43" i="114"/>
  <c r="H98" i="114"/>
  <c r="H177" i="114"/>
  <c r="H51" i="114"/>
  <c r="H193" i="114"/>
  <c r="H159" i="114"/>
  <c r="H125" i="114"/>
  <c r="H97" i="114"/>
  <c r="H91" i="114"/>
  <c r="H45" i="114"/>
  <c r="H28" i="114"/>
  <c r="H104" i="114"/>
  <c r="H183" i="114"/>
  <c r="H184" i="114" s="1"/>
  <c r="H114" i="114"/>
  <c r="H148" i="114"/>
  <c r="H176" i="114"/>
  <c r="H153" i="114"/>
  <c r="H130" i="114"/>
  <c r="H102" i="114"/>
  <c r="H85" i="114"/>
  <c r="H62" i="114"/>
  <c r="H56" i="114"/>
  <c r="H33" i="114"/>
  <c r="H22" i="114"/>
  <c r="H16" i="114"/>
  <c r="H99" i="114"/>
  <c r="H64" i="114"/>
  <c r="H65" i="114" s="1"/>
  <c r="H23" i="114"/>
  <c r="H80" i="114"/>
  <c r="H182" i="114"/>
  <c r="H113" i="114"/>
  <c r="H79" i="114"/>
  <c r="H50" i="114"/>
  <c r="H115" i="114"/>
  <c r="H103" i="114"/>
  <c r="H17" i="114"/>
  <c r="H96" i="114"/>
  <c r="H108" i="114" s="1"/>
  <c r="H175" i="114"/>
  <c r="H129" i="114"/>
  <c r="H61" i="114"/>
  <c r="H32" i="114"/>
  <c r="H21" i="114"/>
  <c r="H15" i="114"/>
  <c r="H166" i="114"/>
  <c r="H29" i="114"/>
  <c r="H34" i="114"/>
  <c r="H38" i="114"/>
  <c r="H58" i="114" s="1"/>
  <c r="H66" i="114" l="1"/>
  <c r="H185" i="114" s="1"/>
  <c r="H187" i="114" s="1"/>
  <c r="H204" i="114" l="1"/>
  <c r="H203" i="114"/>
</calcChain>
</file>

<file path=xl/sharedStrings.xml><?xml version="1.0" encoding="utf-8"?>
<sst xmlns="http://schemas.openxmlformats.org/spreadsheetml/2006/main" count="450" uniqueCount="209">
  <si>
    <t>Residential Rent</t>
  </si>
  <si>
    <t>Concessions</t>
  </si>
  <si>
    <t>Short-term Premiums</t>
  </si>
  <si>
    <t>Coop Maintenance Fee</t>
  </si>
  <si>
    <t>Adjusted Commercial</t>
  </si>
  <si>
    <t>Laundry</t>
  </si>
  <si>
    <t>Parking</t>
  </si>
  <si>
    <t>Storage Unit Rental</t>
  </si>
  <si>
    <t>Unit Utility Reimbursement</t>
  </si>
  <si>
    <t>Lease Application Fees</t>
  </si>
  <si>
    <t>Cable TV</t>
  </si>
  <si>
    <t>Internet Charges</t>
  </si>
  <si>
    <t xml:space="preserve">Phone Rental </t>
  </si>
  <si>
    <t>Furnished Unit Premiums</t>
  </si>
  <si>
    <t>Cleaning and Damage Charges</t>
  </si>
  <si>
    <t>MTM Fees</t>
  </si>
  <si>
    <t>Termination Fees</t>
  </si>
  <si>
    <t>Lease Cancellation Fees</t>
  </si>
  <si>
    <t>Late Charges</t>
  </si>
  <si>
    <t>Pet Fee Income</t>
  </si>
  <si>
    <t>Pet Rental Income</t>
  </si>
  <si>
    <t>Forfeited Security Deposits</t>
  </si>
  <si>
    <t>NSF Fees</t>
  </si>
  <si>
    <t>Interest Income</t>
  </si>
  <si>
    <t>Transfer Fees</t>
  </si>
  <si>
    <t>Clubhouse Rental</t>
  </si>
  <si>
    <t>Legal Fees</t>
  </si>
  <si>
    <t>Vending Machine Income</t>
  </si>
  <si>
    <t>Administrative Fees</t>
  </si>
  <si>
    <t>Car Wash Income</t>
  </si>
  <si>
    <t>GPI</t>
  </si>
  <si>
    <t>Taxes</t>
  </si>
  <si>
    <t>Real Estate Taxes</t>
  </si>
  <si>
    <t>Tax  Abatement</t>
  </si>
  <si>
    <t>Total Taxes</t>
  </si>
  <si>
    <t>Payment in lieu of Taxes</t>
  </si>
  <si>
    <t>Insurance</t>
  </si>
  <si>
    <t>Business Interruption</t>
  </si>
  <si>
    <t>Hazard</t>
  </si>
  <si>
    <t>Flood</t>
  </si>
  <si>
    <t>Property</t>
  </si>
  <si>
    <t>Earthquake</t>
  </si>
  <si>
    <t>Terrorism</t>
  </si>
  <si>
    <t>Mold</t>
  </si>
  <si>
    <t>Total Insurance</t>
  </si>
  <si>
    <t>Utilities</t>
  </si>
  <si>
    <t xml:space="preserve">Fuel </t>
  </si>
  <si>
    <t>Gas</t>
  </si>
  <si>
    <t>Electric</t>
  </si>
  <si>
    <t>Water</t>
  </si>
  <si>
    <t>Sewer</t>
  </si>
  <si>
    <t>Total  Utilities</t>
  </si>
  <si>
    <t>Trash</t>
  </si>
  <si>
    <t>Pest Control</t>
  </si>
  <si>
    <t>Housekeeping / Cleaning</t>
  </si>
  <si>
    <t>Tenant Turnover</t>
  </si>
  <si>
    <t>Building R&amp;M</t>
  </si>
  <si>
    <t>Grounds / Landscaping</t>
  </si>
  <si>
    <t>Supplies</t>
  </si>
  <si>
    <t>Elevator</t>
  </si>
  <si>
    <t>Recreational Amenities</t>
  </si>
  <si>
    <t>Parking / Snow</t>
  </si>
  <si>
    <t>Property Management</t>
  </si>
  <si>
    <t>Payroll</t>
  </si>
  <si>
    <t>On-site Manager</t>
  </si>
  <si>
    <t>Security</t>
  </si>
  <si>
    <t>Maintenance Salaries</t>
  </si>
  <si>
    <t>Payroll Taxes/Benefits</t>
  </si>
  <si>
    <t>Apartment Allowance</t>
  </si>
  <si>
    <t>Total Payroll</t>
  </si>
  <si>
    <t>General &amp; Administrative</t>
  </si>
  <si>
    <t>Advertising</t>
  </si>
  <si>
    <t>Leasing Commissions</t>
  </si>
  <si>
    <t>Office / Model, Down, &amp; Employee Units</t>
  </si>
  <si>
    <t>Office Expenses</t>
  </si>
  <si>
    <t>Broadband</t>
  </si>
  <si>
    <t>Phone</t>
  </si>
  <si>
    <t>Leased Furniture</t>
  </si>
  <si>
    <t>License / Permits</t>
  </si>
  <si>
    <t>Corporate Units</t>
  </si>
  <si>
    <t>Total General &amp; Administrative</t>
  </si>
  <si>
    <t>Professional Fees</t>
  </si>
  <si>
    <t>Legal</t>
  </si>
  <si>
    <t>Audit</t>
  </si>
  <si>
    <t>Total Professional Fees</t>
  </si>
  <si>
    <t>Reserves</t>
  </si>
  <si>
    <t>Carpet</t>
  </si>
  <si>
    <t>Window Treatments</t>
  </si>
  <si>
    <t>Range</t>
  </si>
  <si>
    <t>Refrigerator</t>
  </si>
  <si>
    <t>Dishwasher &amp; Disposal</t>
  </si>
  <si>
    <t>Heating &amp; A/C</t>
  </si>
  <si>
    <t>Boilers</t>
  </si>
  <si>
    <t>Roof</t>
  </si>
  <si>
    <t>Total Reserves</t>
  </si>
  <si>
    <t>NOI</t>
  </si>
  <si>
    <t>Unsubordinated Ground Rent</t>
  </si>
  <si>
    <t>Debt Service</t>
  </si>
  <si>
    <t>FM 1st Mortgage</t>
  </si>
  <si>
    <t>FM Subordinate Financing</t>
  </si>
  <si>
    <t>Non-FM Subordinate Financing</t>
  </si>
  <si>
    <t>Total Debt Service</t>
  </si>
  <si>
    <t>Capital Expenditures</t>
  </si>
  <si>
    <t>Tenant Improvements</t>
  </si>
  <si>
    <t>Total Capital Expenditures</t>
  </si>
  <si>
    <t>Debt Service Coverage Ratio - 1st Mtg.</t>
  </si>
  <si>
    <t>Debt Service Coverage Ratio - All Debt</t>
  </si>
  <si>
    <t>Senior Housing Expenses</t>
  </si>
  <si>
    <t>Administrative / Management</t>
  </si>
  <si>
    <t>Dietary / Food Service</t>
  </si>
  <si>
    <t>Marketing</t>
  </si>
  <si>
    <t>Resident Services</t>
  </si>
  <si>
    <t>Assisted Living - Health Services</t>
  </si>
  <si>
    <t>Housekeeping - Personnel</t>
  </si>
  <si>
    <t>Activities / Social / Recreational</t>
  </si>
  <si>
    <t>Transportation</t>
  </si>
  <si>
    <t>Senior Housing Service Expenses</t>
  </si>
  <si>
    <t>Employee Training</t>
  </si>
  <si>
    <t>Health Service</t>
  </si>
  <si>
    <t>Housekeeping - Laundry</t>
  </si>
  <si>
    <t>Incontinence Care</t>
  </si>
  <si>
    <t>Resident Activities</t>
  </si>
  <si>
    <t>Special Maintenance</t>
  </si>
  <si>
    <t>Management Fee (for Services)</t>
  </si>
  <si>
    <t>Total Senior Housing Service Expenses</t>
  </si>
  <si>
    <t>Total Senior Housing Expenses</t>
  </si>
  <si>
    <t>Senior Housing Income</t>
  </si>
  <si>
    <t>Entrance Fee</t>
  </si>
  <si>
    <t>Additional Resident</t>
  </si>
  <si>
    <t>Ancillary Services</t>
  </si>
  <si>
    <t>Assisted Living Services</t>
  </si>
  <si>
    <t>Alzeimers Care</t>
  </si>
  <si>
    <t>Total Ancillary Services</t>
  </si>
  <si>
    <t>Miscellaneous Services</t>
  </si>
  <si>
    <t>Housekeeping</t>
  </si>
  <si>
    <t>Additional Meals</t>
  </si>
  <si>
    <t>Meds./Health</t>
  </si>
  <si>
    <t>Guest Fee Income</t>
  </si>
  <si>
    <t>Residential Services</t>
  </si>
  <si>
    <t>Nursing</t>
  </si>
  <si>
    <t>Total Miscellaneous Services</t>
  </si>
  <si>
    <t>Total Senior Housing Income</t>
  </si>
  <si>
    <t>Office Staff Salaries</t>
  </si>
  <si>
    <t>Uncollectible Rent Reduction</t>
  </si>
  <si>
    <t>Miscellaneous Expenses</t>
  </si>
  <si>
    <t>S</t>
  </si>
  <si>
    <t>Income</t>
  </si>
  <si>
    <t>Expenses</t>
  </si>
  <si>
    <t>Total Expenses</t>
  </si>
  <si>
    <t>Total Expenses &amp; Reserves</t>
  </si>
  <si>
    <t>Cash Flow Before Debt Service</t>
  </si>
  <si>
    <t>Net Cash Flow</t>
  </si>
  <si>
    <t>Total Other Expenses</t>
  </si>
  <si>
    <t>Total Income (EGI)</t>
  </si>
  <si>
    <t>Miscellaneous Income</t>
  </si>
  <si>
    <t>Total Other Miscellaneous Income</t>
  </si>
  <si>
    <t>Total Miscellaneous Income</t>
  </si>
  <si>
    <t>Total Other Miscellaneous Services</t>
  </si>
  <si>
    <t>Total Other Taxes</t>
  </si>
  <si>
    <t>Total Other Insurance</t>
  </si>
  <si>
    <t>Total Other Utilities</t>
  </si>
  <si>
    <t>Total Other Payroll</t>
  </si>
  <si>
    <t>Total Other General &amp; Administrative</t>
  </si>
  <si>
    <t>Total Other Senior Housing G &amp; A</t>
  </si>
  <si>
    <t>Total Other Professional Fees</t>
  </si>
  <si>
    <t>Total Other Reserves</t>
  </si>
  <si>
    <t>Cash Flow</t>
  </si>
  <si>
    <t>Total Other Capital Expenditures</t>
  </si>
  <si>
    <t>Total Other Senior Housing Svc Exp</t>
  </si>
  <si>
    <t>Vacancy / Coll. Loss</t>
  </si>
  <si>
    <t>Commercial Vacancy / Coll. Loss</t>
  </si>
  <si>
    <t>Total Vacancy / Coll. Loss</t>
  </si>
  <si>
    <t>Residential Vacancy / Coll. Loss</t>
  </si>
  <si>
    <t>Residential Vacancy</t>
  </si>
  <si>
    <t>Residential Coll. Loss</t>
  </si>
  <si>
    <t>Total Residential Vacancy / Coll. Loss</t>
  </si>
  <si>
    <t>Maintenance and Repairs</t>
  </si>
  <si>
    <t>Total Other Maintenance and Repairs</t>
  </si>
  <si>
    <t>Total Maintenance and Repairs</t>
  </si>
  <si>
    <t>Senior Housing General &amp; Admin.</t>
  </si>
  <si>
    <t>Total Senior Housing Gen. &amp; Admin.</t>
  </si>
  <si>
    <t>ALL</t>
  </si>
  <si>
    <t>Other Misc. Income</t>
  </si>
  <si>
    <t>Other Misc. Services</t>
  </si>
  <si>
    <t>Other Taxes</t>
  </si>
  <si>
    <t>Other Insurance</t>
  </si>
  <si>
    <t>Other Utilities</t>
  </si>
  <si>
    <t>Other Maint. and Repairs</t>
  </si>
  <si>
    <t>Other Payroll</t>
  </si>
  <si>
    <t>Other Gen. &amp; Admin.</t>
  </si>
  <si>
    <t>Other SH G &amp; A</t>
  </si>
  <si>
    <t>Other SH Svc Exp</t>
  </si>
  <si>
    <t>Other Professional Fees</t>
  </si>
  <si>
    <t>Other Expenses</t>
  </si>
  <si>
    <t>Other Reserves</t>
  </si>
  <si>
    <t>Other Capital Exp</t>
  </si>
  <si>
    <t>Other</t>
  </si>
  <si>
    <t>H</t>
  </si>
  <si>
    <t>D</t>
  </si>
  <si>
    <t>OH</t>
  </si>
  <si>
    <t>OS</t>
  </si>
  <si>
    <t>ST</t>
  </si>
  <si>
    <t>OT</t>
  </si>
  <si>
    <t>CALC</t>
  </si>
  <si>
    <t>Prop Type</t>
  </si>
  <si>
    <t>% Diff</t>
  </si>
  <si>
    <t>(Template Projection)</t>
  </si>
  <si>
    <t>Proj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</si>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</sst>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_(* #,##0.00_);_(* \(#,##0.00\);_(* &quot;-&quot;??_);_(@_)"/>
    <numFmt numFmtId="173" formatCode="_(* #,##0_);_(* \(#,##0\);_(* &quot;-&quot;??_);_(@_)"/>
    <numFmt numFmtId="191" formatCode="\+0.0%;\-0.0%;\-"/>
    <numFmt numFmtId="192" formatCode="&quot;Years: &quot;0"/>
    <numFmt numFmtId="193" formatCode="0000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31"/>
        <bgColor indexed="23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71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37" fontId="2" fillId="0" borderId="2" xfId="2" applyNumberFormat="1" applyFont="1" applyBorder="1" applyAlignment="1" applyProtection="1">
      <alignment horizontal="right"/>
      <protection locked="0"/>
    </xf>
    <xf numFmtId="37" fontId="2" fillId="0" borderId="3" xfId="2" applyNumberFormat="1" applyFont="1" applyBorder="1" applyAlignment="1" applyProtection="1">
      <alignment horizontal="right"/>
      <protection locked="0"/>
    </xf>
    <xf numFmtId="37" fontId="2" fillId="0" borderId="3" xfId="2" quotePrefix="1" applyNumberFormat="1" applyFont="1" applyBorder="1" applyAlignment="1" applyProtection="1">
      <alignment horizontal="right"/>
      <protection locked="0"/>
    </xf>
    <xf numFmtId="37" fontId="2" fillId="2" borderId="2" xfId="2" applyNumberFormat="1" applyFont="1" applyFill="1" applyBorder="1" applyAlignment="1" applyProtection="1">
      <protection locked="0"/>
    </xf>
    <xf numFmtId="37" fontId="2" fillId="2" borderId="2" xfId="2" applyNumberFormat="1" applyFont="1" applyFill="1" applyBorder="1" applyAlignment="1" applyProtection="1">
      <alignment horizontal="right"/>
      <protection locked="0"/>
    </xf>
    <xf numFmtId="37" fontId="2" fillId="2" borderId="3" xfId="2" applyNumberFormat="1" applyFont="1" applyFill="1" applyBorder="1" applyAlignment="1" applyProtection="1">
      <alignment horizontal="right"/>
      <protection locked="0"/>
    </xf>
    <xf numFmtId="37" fontId="2" fillId="2" borderId="4" xfId="2" applyNumberFormat="1" applyFont="1" applyFill="1" applyBorder="1" applyAlignment="1" applyProtection="1">
      <alignment horizontal="right"/>
      <protection locked="0"/>
    </xf>
    <xf numFmtId="37" fontId="2" fillId="2" borderId="3" xfId="2" applyNumberFormat="1" applyFont="1" applyFill="1" applyBorder="1" applyAlignment="1" applyProtection="1">
      <protection locked="0"/>
    </xf>
    <xf numFmtId="37" fontId="2" fillId="2" borderId="2" xfId="2" applyNumberFormat="1" applyFont="1" applyFill="1" applyBorder="1" applyAlignment="1" applyProtection="1">
      <alignment horizontal="left"/>
      <protection locked="0"/>
    </xf>
    <xf numFmtId="37" fontId="2" fillId="0" borderId="3" xfId="2" applyNumberFormat="1" applyFont="1" applyFill="1" applyBorder="1" applyAlignment="1" applyProtection="1">
      <alignment horizontal="right"/>
      <protection locked="0"/>
    </xf>
    <xf numFmtId="37" fontId="2" fillId="0" borderId="2" xfId="2" applyNumberFormat="1" applyFont="1" applyFill="1" applyBorder="1" applyAlignment="1" applyProtection="1">
      <alignment horizontal="right"/>
      <protection locked="0"/>
    </xf>
    <xf numFmtId="173" fontId="7" fillId="3" borderId="5" xfId="2" applyNumberFormat="1" applyFont="1" applyFill="1" applyBorder="1" applyAlignment="1">
      <alignment horizontal="right"/>
    </xf>
    <xf numFmtId="173" fontId="7" fillId="3" borderId="6" xfId="2" applyNumberFormat="1" applyFont="1" applyFill="1" applyBorder="1" applyAlignment="1">
      <alignment horizontal="right"/>
    </xf>
    <xf numFmtId="37" fontId="2" fillId="4" borderId="3" xfId="0" applyNumberFormat="1" applyFont="1" applyFill="1" applyBorder="1" applyAlignment="1" applyProtection="1">
      <protection locked="0"/>
    </xf>
    <xf numFmtId="191" fontId="6" fillId="3" borderId="7" xfId="0" quotePrefix="1" applyNumberFormat="1" applyFont="1" applyFill="1" applyBorder="1" applyAlignment="1">
      <alignment horizontal="center" vertical="center"/>
    </xf>
    <xf numFmtId="37" fontId="2" fillId="0" borderId="8" xfId="2" applyNumberFormat="1" applyFont="1" applyBorder="1" applyAlignment="1" applyProtection="1">
      <alignment horizontal="right"/>
      <protection locked="0"/>
    </xf>
    <xf numFmtId="173" fontId="7" fillId="3" borderId="9" xfId="2" applyNumberFormat="1" applyFont="1" applyFill="1" applyBorder="1" applyAlignment="1">
      <alignment horizontal="right"/>
    </xf>
    <xf numFmtId="191" fontId="6" fillId="3" borderId="6" xfId="0" quotePrefix="1" applyNumberFormat="1" applyFont="1" applyFill="1" applyBorder="1" applyAlignment="1">
      <alignment horizontal="center" vertical="center"/>
    </xf>
    <xf numFmtId="37" fontId="2" fillId="2" borderId="8" xfId="2" applyNumberFormat="1" applyFont="1" applyFill="1" applyBorder="1" applyAlignment="1" applyProtection="1">
      <alignment horizontal="right"/>
      <protection locked="0"/>
    </xf>
    <xf numFmtId="173" fontId="7" fillId="5" borderId="9" xfId="2" applyNumberFormat="1" applyFont="1" applyFill="1" applyBorder="1" applyAlignment="1" applyProtection="1">
      <alignment horizontal="right"/>
      <protection locked="0"/>
    </xf>
    <xf numFmtId="191" fontId="6" fillId="5" borderId="6" xfId="2" applyNumberFormat="1" applyFont="1" applyFill="1" applyBorder="1" applyAlignment="1" applyProtection="1">
      <alignment horizontal="center" vertical="center"/>
      <protection locked="0"/>
    </xf>
    <xf numFmtId="37" fontId="2" fillId="4" borderId="8" xfId="2" applyNumberFormat="1" applyFont="1" applyFill="1" applyBorder="1" applyAlignment="1" applyProtection="1">
      <alignment horizontal="right"/>
      <protection locked="0"/>
    </xf>
    <xf numFmtId="37" fontId="2" fillId="4" borderId="3" xfId="2" applyNumberFormat="1" applyFont="1" applyFill="1" applyBorder="1" applyAlignment="1" applyProtection="1">
      <alignment horizontal="right"/>
      <protection locked="0"/>
    </xf>
    <xf numFmtId="37" fontId="3" fillId="4" borderId="8" xfId="2" applyNumberFormat="1" applyFont="1" applyFill="1" applyBorder="1" applyAlignment="1" applyProtection="1">
      <alignment horizontal="right"/>
      <protection locked="0"/>
    </xf>
    <xf numFmtId="37" fontId="3" fillId="4" borderId="3" xfId="2" applyNumberFormat="1" applyFont="1" applyFill="1" applyBorder="1" applyAlignment="1" applyProtection="1">
      <alignment horizontal="right"/>
      <protection locked="0"/>
    </xf>
    <xf numFmtId="173" fontId="7" fillId="3" borderId="9" xfId="2" applyNumberFormat="1" applyFont="1" applyFill="1" applyBorder="1" applyAlignment="1"/>
    <xf numFmtId="37" fontId="2" fillId="2" borderId="8" xfId="2" applyNumberFormat="1" applyFont="1" applyFill="1" applyBorder="1" applyAlignment="1" applyProtection="1">
      <protection locked="0"/>
    </xf>
    <xf numFmtId="173" fontId="6" fillId="3" borderId="9" xfId="2" applyNumberFormat="1" applyFont="1" applyFill="1" applyBorder="1" applyAlignment="1"/>
    <xf numFmtId="37" fontId="3" fillId="4" borderId="8" xfId="2" applyNumberFormat="1" applyFont="1" applyFill="1" applyBorder="1" applyAlignment="1" applyProtection="1">
      <protection locked="0"/>
    </xf>
    <xf numFmtId="37" fontId="3" fillId="4" borderId="3" xfId="2" applyNumberFormat="1" applyFont="1" applyFill="1" applyBorder="1" applyAlignment="1" applyProtection="1">
      <protection locked="0"/>
    </xf>
    <xf numFmtId="191" fontId="6" fillId="3" borderId="6" xfId="2" applyNumberFormat="1" applyFont="1" applyFill="1" applyBorder="1" applyAlignment="1">
      <alignment horizontal="center" vertical="center"/>
    </xf>
    <xf numFmtId="37" fontId="2" fillId="4" borderId="8" xfId="0" applyNumberFormat="1" applyFont="1" applyFill="1" applyBorder="1" applyAlignment="1" applyProtection="1">
      <protection locked="0"/>
    </xf>
    <xf numFmtId="37" fontId="2" fillId="4" borderId="8" xfId="0" applyNumberFormat="1" applyFont="1" applyFill="1" applyBorder="1" applyProtection="1">
      <protection locked="0"/>
    </xf>
    <xf numFmtId="37" fontId="2" fillId="4" borderId="3" xfId="0" applyNumberFormat="1" applyFont="1" applyFill="1" applyBorder="1" applyProtection="1">
      <protection locked="0"/>
    </xf>
    <xf numFmtId="37" fontId="9" fillId="5" borderId="2" xfId="2" applyNumberFormat="1" applyFont="1" applyFill="1" applyBorder="1" applyAlignment="1">
      <alignment horizontal="right"/>
    </xf>
    <xf numFmtId="37" fontId="9" fillId="5" borderId="10" xfId="2" applyNumberFormat="1" applyFont="1" applyFill="1" applyBorder="1" applyAlignment="1">
      <alignment horizontal="right"/>
    </xf>
    <xf numFmtId="173" fontId="7" fillId="3" borderId="9" xfId="2" applyNumberFormat="1" applyFont="1" applyFill="1" applyBorder="1" applyAlignment="1">
      <alignment horizontal="left"/>
    </xf>
    <xf numFmtId="37" fontId="2" fillId="2" borderId="8" xfId="2" applyNumberFormat="1" applyFont="1" applyFill="1" applyBorder="1" applyAlignment="1" applyProtection="1">
      <alignment horizontal="left"/>
      <protection locked="0"/>
    </xf>
    <xf numFmtId="37" fontId="2" fillId="2" borderId="3" xfId="2" applyNumberFormat="1" applyFont="1" applyFill="1" applyBorder="1" applyAlignment="1" applyProtection="1">
      <alignment horizontal="left"/>
      <protection locked="0"/>
    </xf>
    <xf numFmtId="37" fontId="2" fillId="0" borderId="8" xfId="2" applyNumberFormat="1" applyFont="1" applyBorder="1" applyAlignment="1" applyProtection="1">
      <alignment horizontal="left"/>
      <protection locked="0"/>
    </xf>
    <xf numFmtId="37" fontId="2" fillId="0" borderId="3" xfId="2" applyNumberFormat="1" applyFont="1" applyBorder="1" applyAlignment="1" applyProtection="1">
      <alignment horizontal="left"/>
      <protection locked="0"/>
    </xf>
    <xf numFmtId="37" fontId="9" fillId="5" borderId="3" xfId="2" applyNumberFormat="1" applyFont="1" applyFill="1" applyBorder="1" applyAlignment="1">
      <alignment horizontal="right"/>
    </xf>
    <xf numFmtId="191" fontId="6" fillId="3" borderId="5" xfId="2" applyNumberFormat="1" applyFont="1" applyFill="1" applyBorder="1" applyAlignment="1">
      <alignment horizontal="center" vertical="center"/>
    </xf>
    <xf numFmtId="37" fontId="5" fillId="0" borderId="8" xfId="2" applyNumberFormat="1" applyFont="1" applyFill="1" applyBorder="1" applyAlignment="1" applyProtection="1">
      <alignment horizontal="right"/>
      <protection locked="0"/>
    </xf>
    <xf numFmtId="37" fontId="5" fillId="0" borderId="3" xfId="2" applyNumberFormat="1" applyFont="1" applyFill="1" applyBorder="1" applyAlignment="1" applyProtection="1">
      <alignment horizontal="right"/>
      <protection locked="0"/>
    </xf>
    <xf numFmtId="37" fontId="2" fillId="0" borderId="8" xfId="2" applyNumberFormat="1" applyFont="1" applyFill="1" applyBorder="1" applyAlignment="1" applyProtection="1">
      <alignment horizontal="right"/>
      <protection locked="0"/>
    </xf>
    <xf numFmtId="37" fontId="9" fillId="5" borderId="8" xfId="2" applyNumberFormat="1" applyFont="1" applyFill="1" applyBorder="1" applyAlignment="1">
      <alignment horizontal="right"/>
    </xf>
    <xf numFmtId="173" fontId="6" fillId="3" borderId="5" xfId="2" applyNumberFormat="1" applyFont="1" applyFill="1" applyBorder="1" applyAlignment="1"/>
    <xf numFmtId="37" fontId="2" fillId="4" borderId="8" xfId="2" applyNumberFormat="1" applyFont="1" applyFill="1" applyBorder="1" applyAlignment="1" applyProtection="1">
      <alignment horizontal="right"/>
    </xf>
    <xf numFmtId="37" fontId="2" fillId="4" borderId="3" xfId="2" applyNumberFormat="1" applyFont="1" applyFill="1" applyBorder="1" applyAlignment="1" applyProtection="1">
      <alignment horizontal="right"/>
    </xf>
    <xf numFmtId="37" fontId="7" fillId="5" borderId="2" xfId="2" applyNumberFormat="1" applyFont="1" applyFill="1" applyBorder="1" applyAlignment="1">
      <alignment horizontal="right"/>
    </xf>
    <xf numFmtId="37" fontId="7" fillId="5" borderId="8" xfId="2" applyNumberFormat="1" applyFont="1" applyFill="1" applyBorder="1" applyAlignment="1">
      <alignment horizontal="right"/>
    </xf>
    <xf numFmtId="37" fontId="7" fillId="5" borderId="3" xfId="2" applyNumberFormat="1" applyFont="1" applyFill="1" applyBorder="1" applyAlignment="1">
      <alignment horizontal="right"/>
    </xf>
    <xf numFmtId="37" fontId="7" fillId="5" borderId="4" xfId="2" applyNumberFormat="1" applyFont="1" applyFill="1" applyBorder="1" applyAlignment="1">
      <alignment horizontal="right"/>
    </xf>
    <xf numFmtId="173" fontId="5" fillId="0" borderId="9" xfId="2" applyNumberFormat="1" applyFont="1" applyBorder="1" applyAlignment="1">
      <alignment horizontal="right"/>
    </xf>
    <xf numFmtId="173" fontId="5" fillId="0" borderId="6" xfId="2" applyNumberFormat="1" applyFont="1" applyBorder="1" applyAlignment="1">
      <alignment horizontal="right"/>
    </xf>
    <xf numFmtId="37" fontId="7" fillId="5" borderId="11" xfId="2" applyNumberFormat="1" applyFont="1" applyFill="1" applyBorder="1" applyAlignment="1">
      <alignment horizontal="right"/>
    </xf>
    <xf numFmtId="0" fontId="2" fillId="5" borderId="0" xfId="0" applyFont="1" applyFill="1" applyBorder="1" applyAlignment="1"/>
    <xf numFmtId="0" fontId="8" fillId="5" borderId="12" xfId="0" applyFont="1" applyFill="1" applyBorder="1" applyAlignment="1">
      <alignment horizontal="left" vertical="center" wrapText="1" indent="1"/>
    </xf>
    <xf numFmtId="193" fontId="5" fillId="4" borderId="13" xfId="2" applyNumberFormat="1" applyFont="1" applyFill="1" applyBorder="1" applyAlignment="1">
      <alignment horizontal="center" wrapText="1"/>
    </xf>
    <xf numFmtId="0" fontId="0" fillId="0" borderId="0" xfId="0" applyAlignment="1">
      <alignment horizontal="right" vertical="center" indent="2"/>
    </xf>
    <xf numFmtId="0" fontId="0" fillId="0" borderId="0" xfId="0" applyBorder="1" applyAlignment="1">
      <alignment horizontal="right" vertical="center" indent="2"/>
    </xf>
    <xf numFmtId="173" fontId="6" fillId="3" borderId="14" xfId="0" applyNumberFormat="1" applyFont="1" applyFill="1" applyBorder="1" applyAlignment="1">
      <alignment horizontal="left" vertical="center"/>
    </xf>
    <xf numFmtId="1" fontId="5" fillId="4" borderId="13" xfId="2" applyNumberFormat="1" applyFont="1" applyFill="1" applyBorder="1" applyAlignment="1">
      <alignment horizontal="center"/>
    </xf>
    <xf numFmtId="1" fontId="5" fillId="4" borderId="13" xfId="2" applyNumberFormat="1" applyFont="1" applyFill="1" applyBorder="1" applyAlignment="1">
      <alignment horizontal="center" wrapText="1"/>
    </xf>
    <xf numFmtId="192" fontId="4" fillId="0" borderId="0" xfId="0" applyNumberFormat="1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9" fontId="10" fillId="5" borderId="0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indent="3"/>
    </xf>
    <xf numFmtId="0" fontId="2" fillId="0" borderId="17" xfId="0" applyFont="1" applyBorder="1" applyAlignment="1">
      <alignment horizontal="left" indent="3"/>
    </xf>
    <xf numFmtId="0" fontId="6" fillId="3" borderId="9" xfId="0" applyFont="1" applyFill="1" applyBorder="1" applyAlignment="1">
      <alignment horizontal="left" indent="2"/>
    </xf>
    <xf numFmtId="0" fontId="2" fillId="0" borderId="17" xfId="0" applyFont="1" applyBorder="1" applyAlignment="1">
      <alignment horizontal="left" indent="2"/>
    </xf>
    <xf numFmtId="0" fontId="6" fillId="3" borderId="14" xfId="0" applyFont="1" applyFill="1" applyBorder="1" applyAlignment="1">
      <alignment horizontal="left" indent="1"/>
    </xf>
    <xf numFmtId="0" fontId="2" fillId="0" borderId="20" xfId="0" applyFont="1" applyBorder="1" applyAlignment="1">
      <alignment horizontal="left" indent="1"/>
    </xf>
    <xf numFmtId="0" fontId="2" fillId="4" borderId="9" xfId="0" applyFont="1" applyFill="1" applyBorder="1" applyAlignment="1">
      <alignment horizontal="left" indent="2"/>
    </xf>
    <xf numFmtId="0" fontId="6" fillId="3" borderId="9" xfId="0" applyFont="1" applyFill="1" applyBorder="1" applyAlignment="1">
      <alignment horizontal="left" indent="3"/>
    </xf>
    <xf numFmtId="0" fontId="5" fillId="4" borderId="9" xfId="0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3"/>
    </xf>
    <xf numFmtId="0" fontId="5" fillId="4" borderId="9" xfId="0" applyFont="1" applyFill="1" applyBorder="1" applyAlignment="1">
      <alignment horizontal="left" indent="2"/>
    </xf>
    <xf numFmtId="0" fontId="6" fillId="3" borderId="9" xfId="0" quotePrefix="1" applyFont="1" applyFill="1" applyBorder="1" applyAlignment="1">
      <alignment horizontal="left" indent="3"/>
    </xf>
    <xf numFmtId="0" fontId="2" fillId="4" borderId="9" xfId="0" applyFont="1" applyFill="1" applyBorder="1" applyAlignment="1">
      <alignment horizontal="left" indent="4"/>
    </xf>
    <xf numFmtId="0" fontId="2" fillId="0" borderId="17" xfId="0" applyFont="1" applyBorder="1" applyAlignment="1">
      <alignment horizontal="left" indent="4"/>
    </xf>
    <xf numFmtId="0" fontId="6" fillId="3" borderId="9" xfId="0" applyFont="1" applyFill="1" applyBorder="1" applyAlignment="1">
      <alignment horizontal="left" indent="4"/>
    </xf>
    <xf numFmtId="0" fontId="5" fillId="4" borderId="9" xfId="0" applyFont="1" applyFill="1" applyBorder="1" applyAlignment="1">
      <alignment horizontal="left" indent="4"/>
    </xf>
    <xf numFmtId="0" fontId="5" fillId="4" borderId="17" xfId="0" applyFont="1" applyFill="1" applyBorder="1" applyAlignment="1">
      <alignment horizontal="left" indent="4"/>
    </xf>
    <xf numFmtId="0" fontId="5" fillId="4" borderId="9" xfId="1" applyFont="1" applyFill="1" applyBorder="1" applyAlignment="1">
      <alignment horizontal="left" indent="3"/>
    </xf>
    <xf numFmtId="0" fontId="5" fillId="4" borderId="17" xfId="1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2"/>
    </xf>
    <xf numFmtId="0" fontId="6" fillId="3" borderId="18" xfId="0" applyFont="1" applyFill="1" applyBorder="1" applyAlignment="1">
      <alignment horizontal="left" indent="2"/>
    </xf>
    <xf numFmtId="0" fontId="6" fillId="3" borderId="19" xfId="0" applyFont="1" applyFill="1" applyBorder="1" applyAlignment="1">
      <alignment horizontal="left" indent="2"/>
    </xf>
    <xf numFmtId="0" fontId="5" fillId="4" borderId="17" xfId="0" quotePrefix="1" applyFont="1" applyFill="1" applyBorder="1" applyAlignment="1">
      <alignment horizontal="left" indent="2"/>
    </xf>
    <xf numFmtId="0" fontId="5" fillId="4" borderId="9" xfId="0" applyFont="1" applyFill="1" applyBorder="1" applyAlignment="1">
      <alignment horizontal="left" indent="1"/>
    </xf>
    <xf numFmtId="0" fontId="2" fillId="0" borderId="17" xfId="0" applyFont="1" applyBorder="1" applyAlignment="1">
      <alignment horizontal="left" indent="1"/>
    </xf>
    <xf numFmtId="0" fontId="6" fillId="3" borderId="18" xfId="0" applyFont="1" applyFill="1" applyBorder="1" applyAlignment="1">
      <alignment horizontal="left" indent="1"/>
    </xf>
    <xf numFmtId="0" fontId="6" fillId="3" borderId="19" xfId="0" applyFont="1" applyFill="1" applyBorder="1" applyAlignment="1">
      <alignment horizontal="left" indent="1"/>
    </xf>
    <xf numFmtId="0" fontId="2" fillId="4" borderId="9" xfId="0" quotePrefix="1" applyFont="1" applyFill="1" applyBorder="1" applyAlignment="1">
      <alignment horizontal="left" indent="3"/>
    </xf>
    <xf numFmtId="0" fontId="5" fillId="4" borderId="9" xfId="0" quotePrefix="1" applyFont="1" applyFill="1" applyBorder="1" applyAlignment="1">
      <alignment horizontal="left" indent="2"/>
    </xf>
    <xf numFmtId="0" fontId="2" fillId="4" borderId="9" xfId="0" quotePrefix="1" applyFont="1" applyFill="1" applyBorder="1" applyAlignment="1">
      <alignment horizontal="left" indent="4"/>
    </xf>
    <xf numFmtId="0" fontId="5" fillId="4" borderId="9" xfId="0" quotePrefix="1" applyFont="1" applyFill="1" applyBorder="1" applyAlignment="1">
      <alignment horizontal="left" indent="3"/>
    </xf>
    <xf numFmtId="0" fontId="5" fillId="4" borderId="17" xfId="0" quotePrefix="1" applyFont="1" applyFill="1" applyBorder="1" applyAlignment="1">
      <alignment horizontal="left" indent="3"/>
    </xf>
    <xf numFmtId="0" fontId="6" fillId="3" borderId="9" xfId="0" applyFont="1" applyFill="1" applyBorder="1" applyAlignment="1">
      <alignment horizontal="left" indent="1"/>
    </xf>
    <xf numFmtId="0" fontId="2" fillId="4" borderId="9" xfId="0" quotePrefix="1" applyFont="1" applyFill="1" applyBorder="1" applyAlignment="1">
      <alignment horizontal="left" indent="2"/>
    </xf>
    <xf numFmtId="0" fontId="5" fillId="4" borderId="17" xfId="0" applyFont="1" applyFill="1" applyBorder="1" applyAlignment="1">
      <alignment horizontal="left" indent="1"/>
    </xf>
    <xf numFmtId="0" fontId="2" fillId="4" borderId="9" xfId="0" applyFont="1" applyFill="1" applyBorder="1" applyAlignment="1">
      <alignment horizontal="left" indent="1"/>
    </xf>
    <xf numFmtId="0" fontId="4" fillId="4" borderId="9" xfId="0" applyFont="1" applyFill="1" applyBorder="1" applyAlignment="1">
      <alignment horizontal="left" indent="1"/>
    </xf>
    <xf numFmtId="0" fontId="4" fillId="0" borderId="17" xfId="0" applyFont="1" applyBorder="1" applyAlignment="1">
      <alignment horizontal="left" indent="1"/>
    </xf>
    <xf numFmtId="0" fontId="2" fillId="4" borderId="15" xfId="0" quotePrefix="1" applyFont="1" applyFill="1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5" fillId="4" borderId="9" xfId="0" quotePrefix="1" applyFont="1" applyFill="1" applyBorder="1" applyAlignment="1">
      <alignment horizontal="left" indent="1"/>
    </xf>
    <xf numFmtId="0" fontId="5" fillId="4" borderId="17" xfId="0" quotePrefix="1" applyFont="1" applyFill="1" applyBorder="1" applyAlignment="1">
      <alignment horizontal="left" indent="1"/>
    </xf>
    <xf numFmtId="0" fontId="2" fillId="4" borderId="9" xfId="0" quotePrefix="1" applyFont="1" applyFill="1" applyBorder="1" applyAlignment="1">
      <alignment horizontal="left" indent="1"/>
    </xf>
  </cellXfs>
  <cellStyles count="3">
    <cellStyle name="Komma" xfId="2" builtinId="3"/>
    <cellStyle name="Standard" xfId="0" builtinId="0"/>
    <cellStyle name="Zeilenebene_3" xfId="1" builtinId="1" iLevel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DEEBFF"/>
      <rgbColor rgb="00D97600"/>
      <rgbColor rgb="00ECE7CA"/>
      <rgbColor rgb="000362AA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C$1" max="50" min="1" page="10" val="4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3</xdr:row>
      <xdr:rowOff>50800</xdr:rowOff>
    </xdr:from>
    <xdr:to>
      <xdr:col>0</xdr:col>
      <xdr:colOff>127000</xdr:colOff>
      <xdr:row>3</xdr:row>
      <xdr:rowOff>127000</xdr:rowOff>
    </xdr:to>
    <xdr:sp macro="[0]!Spin_1_INC_Top_Click" textlink="">
      <xdr:nvSpPr>
        <xdr:cNvPr id="135169" name="Spin_1_INC_Top">
          <a:extLst>
            <a:ext uri="{FF2B5EF4-FFF2-40B4-BE49-F238E27FC236}">
              <a16:creationId xmlns:a16="http://schemas.microsoft.com/office/drawing/2014/main" id="{809996D4-5CA8-D450-5DA2-8EB5B75926E9}"/>
            </a:ext>
          </a:extLst>
        </xdr:cNvPr>
        <xdr:cNvSpPr>
          <a:spLocks noChangeArrowheads="1"/>
        </xdr:cNvSpPr>
      </xdr:nvSpPr>
      <xdr:spPr bwMode="auto">
        <a:xfrm rot="10800000">
          <a:off x="25400" y="508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279400</xdr:colOff>
      <xdr:row>55</xdr:row>
      <xdr:rowOff>38100</xdr:rowOff>
    </xdr:from>
    <xdr:to>
      <xdr:col>0</xdr:col>
      <xdr:colOff>381000</xdr:colOff>
      <xdr:row>55</xdr:row>
      <xdr:rowOff>114300</xdr:rowOff>
    </xdr:to>
    <xdr:sp macro="[0]!Spin_3_SMS_Bottom_Click" textlink="">
      <xdr:nvSpPr>
        <xdr:cNvPr id="135170" name="Spin_3_SMS_Bottom">
          <a:extLst>
            <a:ext uri="{FF2B5EF4-FFF2-40B4-BE49-F238E27FC236}">
              <a16:creationId xmlns:a16="http://schemas.microsoft.com/office/drawing/2014/main" id="{7E26C3ED-1B6F-FC2E-0D24-1360EEE9ABFB}"/>
            </a:ext>
          </a:extLst>
        </xdr:cNvPr>
        <xdr:cNvSpPr>
          <a:spLocks noChangeArrowheads="1"/>
        </xdr:cNvSpPr>
      </xdr:nvSpPr>
      <xdr:spPr bwMode="auto">
        <a:xfrm>
          <a:off x="279400" y="7785100"/>
          <a:ext cx="101600" cy="76200"/>
        </a:xfrm>
        <a:prstGeom prst="triangle">
          <a:avLst>
            <a:gd name="adj" fmla="val 49995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431800</xdr:colOff>
      <xdr:row>54</xdr:row>
      <xdr:rowOff>38100</xdr:rowOff>
    </xdr:from>
    <xdr:to>
      <xdr:col>0</xdr:col>
      <xdr:colOff>533400</xdr:colOff>
      <xdr:row>54</xdr:row>
      <xdr:rowOff>114300</xdr:rowOff>
    </xdr:to>
    <xdr:sp macro="[0]!Spin_4_SOS_Bottom_Click" textlink="">
      <xdr:nvSpPr>
        <xdr:cNvPr id="135171" name="Spin_4_SOS_Bottom">
          <a:extLst>
            <a:ext uri="{FF2B5EF4-FFF2-40B4-BE49-F238E27FC236}">
              <a16:creationId xmlns:a16="http://schemas.microsoft.com/office/drawing/2014/main" id="{52F83D9E-F142-B9F6-392B-9EF0111DC74F}"/>
            </a:ext>
          </a:extLst>
        </xdr:cNvPr>
        <xdr:cNvSpPr>
          <a:spLocks noChangeArrowheads="1"/>
        </xdr:cNvSpPr>
      </xdr:nvSpPr>
      <xdr:spPr bwMode="auto">
        <a:xfrm>
          <a:off x="431800" y="7645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431800</xdr:colOff>
      <xdr:row>53</xdr:row>
      <xdr:rowOff>38100</xdr:rowOff>
    </xdr:from>
    <xdr:to>
      <xdr:col>0</xdr:col>
      <xdr:colOff>533400</xdr:colOff>
      <xdr:row>53</xdr:row>
      <xdr:rowOff>114300</xdr:rowOff>
    </xdr:to>
    <xdr:sp macro="[0]!Spin_4_SOS_Top_Click" textlink="">
      <xdr:nvSpPr>
        <xdr:cNvPr id="135172" name="Spin_4_SOS_Top">
          <a:extLst>
            <a:ext uri="{FF2B5EF4-FFF2-40B4-BE49-F238E27FC236}">
              <a16:creationId xmlns:a16="http://schemas.microsoft.com/office/drawing/2014/main" id="{F33D0884-A03C-A109-4E07-DAF5798AA40F}"/>
            </a:ext>
          </a:extLst>
        </xdr:cNvPr>
        <xdr:cNvSpPr>
          <a:spLocks noChangeArrowheads="1"/>
        </xdr:cNvSpPr>
      </xdr:nvSpPr>
      <xdr:spPr bwMode="auto">
        <a:xfrm rot="10800000">
          <a:off x="431800" y="7505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11</xdr:row>
      <xdr:rowOff>50800</xdr:rowOff>
    </xdr:from>
    <xdr:to>
      <xdr:col>0</xdr:col>
      <xdr:colOff>266700</xdr:colOff>
      <xdr:row>11</xdr:row>
      <xdr:rowOff>127000</xdr:rowOff>
    </xdr:to>
    <xdr:sp macro="[0]!Spin_2_MIC_Top_Click" textlink="">
      <xdr:nvSpPr>
        <xdr:cNvPr id="135173" name="Spin_2_MIC_Top">
          <a:extLst>
            <a:ext uri="{FF2B5EF4-FFF2-40B4-BE49-F238E27FC236}">
              <a16:creationId xmlns:a16="http://schemas.microsoft.com/office/drawing/2014/main" id="{FF3F1FA3-E46F-E199-0226-3EE54D4C8D77}"/>
            </a:ext>
          </a:extLst>
        </xdr:cNvPr>
        <xdr:cNvSpPr>
          <a:spLocks noChangeArrowheads="1"/>
        </xdr:cNvSpPr>
      </xdr:nvSpPr>
      <xdr:spPr bwMode="auto">
        <a:xfrm rot="10800000">
          <a:off x="165100" y="1638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35</xdr:row>
      <xdr:rowOff>38100</xdr:rowOff>
    </xdr:from>
    <xdr:to>
      <xdr:col>0</xdr:col>
      <xdr:colOff>393700</xdr:colOff>
      <xdr:row>35</xdr:row>
      <xdr:rowOff>114300</xdr:rowOff>
    </xdr:to>
    <xdr:sp macro="[0]!Spin_3_OMI_Top_Click" textlink="">
      <xdr:nvSpPr>
        <xdr:cNvPr id="135174" name="Spin_3_OMI_Top">
          <a:extLst>
            <a:ext uri="{FF2B5EF4-FFF2-40B4-BE49-F238E27FC236}">
              <a16:creationId xmlns:a16="http://schemas.microsoft.com/office/drawing/2014/main" id="{4DA4676D-FE8E-9458-3C27-E7D11493BF0B}"/>
            </a:ext>
          </a:extLst>
        </xdr:cNvPr>
        <xdr:cNvSpPr>
          <a:spLocks noChangeArrowheads="1"/>
        </xdr:cNvSpPr>
      </xdr:nvSpPr>
      <xdr:spPr bwMode="auto">
        <a:xfrm rot="10800000">
          <a:off x="292100" y="4991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36</xdr:row>
      <xdr:rowOff>38100</xdr:rowOff>
    </xdr:from>
    <xdr:to>
      <xdr:col>0</xdr:col>
      <xdr:colOff>393700</xdr:colOff>
      <xdr:row>36</xdr:row>
      <xdr:rowOff>114300</xdr:rowOff>
    </xdr:to>
    <xdr:sp macro="[0]!Spin_3_OMI_Bottom_Click" textlink="">
      <xdr:nvSpPr>
        <xdr:cNvPr id="135175" name="Spin_3_OMI_Bottom">
          <a:extLst>
            <a:ext uri="{FF2B5EF4-FFF2-40B4-BE49-F238E27FC236}">
              <a16:creationId xmlns:a16="http://schemas.microsoft.com/office/drawing/2014/main" id="{8A05CD53-CEFF-7A6A-F465-AE4666A93465}"/>
            </a:ext>
          </a:extLst>
        </xdr:cNvPr>
        <xdr:cNvSpPr>
          <a:spLocks noChangeArrowheads="1"/>
        </xdr:cNvSpPr>
      </xdr:nvSpPr>
      <xdr:spPr bwMode="auto">
        <a:xfrm>
          <a:off x="292100" y="5130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37</xdr:row>
      <xdr:rowOff>38100</xdr:rowOff>
    </xdr:from>
    <xdr:to>
      <xdr:col>0</xdr:col>
      <xdr:colOff>266700</xdr:colOff>
      <xdr:row>37</xdr:row>
      <xdr:rowOff>114300</xdr:rowOff>
    </xdr:to>
    <xdr:sp macro="[0]!Spin_2_MIC_Bottom_Click" textlink="">
      <xdr:nvSpPr>
        <xdr:cNvPr id="135176" name="Spin_2_MIC_Bottom">
          <a:extLst>
            <a:ext uri="{FF2B5EF4-FFF2-40B4-BE49-F238E27FC236}">
              <a16:creationId xmlns:a16="http://schemas.microsoft.com/office/drawing/2014/main" id="{B0AF94C8-2B61-BD79-3BB7-ADFDEA23EC1D}"/>
            </a:ext>
          </a:extLst>
        </xdr:cNvPr>
        <xdr:cNvSpPr>
          <a:spLocks noChangeArrowheads="1"/>
        </xdr:cNvSpPr>
      </xdr:nvSpPr>
      <xdr:spPr bwMode="auto">
        <a:xfrm>
          <a:off x="165100" y="5270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38</xdr:row>
      <xdr:rowOff>38100</xdr:rowOff>
    </xdr:from>
    <xdr:to>
      <xdr:col>0</xdr:col>
      <xdr:colOff>266700</xdr:colOff>
      <xdr:row>38</xdr:row>
      <xdr:rowOff>114300</xdr:rowOff>
    </xdr:to>
    <xdr:sp macro="[0]!Spin_2_SHI_Top_Click" textlink="">
      <xdr:nvSpPr>
        <xdr:cNvPr id="135177" name="Spin_2_SHI_Top">
          <a:extLst>
            <a:ext uri="{FF2B5EF4-FFF2-40B4-BE49-F238E27FC236}">
              <a16:creationId xmlns:a16="http://schemas.microsoft.com/office/drawing/2014/main" id="{35D04058-3E87-B250-F496-080AA2EFFED1}"/>
            </a:ext>
          </a:extLst>
        </xdr:cNvPr>
        <xdr:cNvSpPr>
          <a:spLocks noChangeArrowheads="1"/>
        </xdr:cNvSpPr>
      </xdr:nvSpPr>
      <xdr:spPr bwMode="auto">
        <a:xfrm rot="10800000">
          <a:off x="165100" y="54102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41</xdr:row>
      <xdr:rowOff>38100</xdr:rowOff>
    </xdr:from>
    <xdr:to>
      <xdr:col>0</xdr:col>
      <xdr:colOff>393700</xdr:colOff>
      <xdr:row>41</xdr:row>
      <xdr:rowOff>114300</xdr:rowOff>
    </xdr:to>
    <xdr:sp macro="[0]!Spin_3_SAS_Top_Click" textlink="">
      <xdr:nvSpPr>
        <xdr:cNvPr id="135178" name="Spin_3_SAS_Top">
          <a:extLst>
            <a:ext uri="{FF2B5EF4-FFF2-40B4-BE49-F238E27FC236}">
              <a16:creationId xmlns:a16="http://schemas.microsoft.com/office/drawing/2014/main" id="{48BD5B9B-38FE-3912-07C4-436E4E52D28F}"/>
            </a:ext>
          </a:extLst>
        </xdr:cNvPr>
        <xdr:cNvSpPr>
          <a:spLocks noChangeArrowheads="1"/>
        </xdr:cNvSpPr>
      </xdr:nvSpPr>
      <xdr:spPr bwMode="auto">
        <a:xfrm rot="10800000">
          <a:off x="292100" y="5829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44</xdr:row>
      <xdr:rowOff>38100</xdr:rowOff>
    </xdr:from>
    <xdr:to>
      <xdr:col>0</xdr:col>
      <xdr:colOff>393700</xdr:colOff>
      <xdr:row>44</xdr:row>
      <xdr:rowOff>114300</xdr:rowOff>
    </xdr:to>
    <xdr:sp macro="[0]!Spin_3_SAS_Bottom_Click" textlink="">
      <xdr:nvSpPr>
        <xdr:cNvPr id="135179" name="Spin_3_SAS_Bottom">
          <a:extLst>
            <a:ext uri="{FF2B5EF4-FFF2-40B4-BE49-F238E27FC236}">
              <a16:creationId xmlns:a16="http://schemas.microsoft.com/office/drawing/2014/main" id="{35084E85-EE4F-675A-62C5-63C1D0D71828}"/>
            </a:ext>
          </a:extLst>
        </xdr:cNvPr>
        <xdr:cNvSpPr>
          <a:spLocks noChangeArrowheads="1"/>
        </xdr:cNvSpPr>
      </xdr:nvSpPr>
      <xdr:spPr bwMode="auto">
        <a:xfrm>
          <a:off x="292100" y="6248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58</xdr:row>
      <xdr:rowOff>38100</xdr:rowOff>
    </xdr:from>
    <xdr:to>
      <xdr:col>0</xdr:col>
      <xdr:colOff>266700</xdr:colOff>
      <xdr:row>58</xdr:row>
      <xdr:rowOff>114300</xdr:rowOff>
    </xdr:to>
    <xdr:sp macro="[0]!Spin_2_VCL_Top_Click" textlink="">
      <xdr:nvSpPr>
        <xdr:cNvPr id="135180" name="Spin_2_VCL_Top">
          <a:extLst>
            <a:ext uri="{FF2B5EF4-FFF2-40B4-BE49-F238E27FC236}">
              <a16:creationId xmlns:a16="http://schemas.microsoft.com/office/drawing/2014/main" id="{06AACCB4-BECD-D6B7-ACC7-B3FD6BA20A49}"/>
            </a:ext>
          </a:extLst>
        </xdr:cNvPr>
        <xdr:cNvSpPr>
          <a:spLocks noChangeArrowheads="1"/>
        </xdr:cNvSpPr>
      </xdr:nvSpPr>
      <xdr:spPr bwMode="auto">
        <a:xfrm rot="10800000">
          <a:off x="165100" y="82042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59</xdr:row>
      <xdr:rowOff>38100</xdr:rowOff>
    </xdr:from>
    <xdr:to>
      <xdr:col>0</xdr:col>
      <xdr:colOff>393700</xdr:colOff>
      <xdr:row>59</xdr:row>
      <xdr:rowOff>114300</xdr:rowOff>
    </xdr:to>
    <xdr:sp macro="[0]!Spin_3_RVL_Top_Click" textlink="">
      <xdr:nvSpPr>
        <xdr:cNvPr id="135181" name="Spin_3_RVL_Top">
          <a:extLst>
            <a:ext uri="{FF2B5EF4-FFF2-40B4-BE49-F238E27FC236}">
              <a16:creationId xmlns:a16="http://schemas.microsoft.com/office/drawing/2014/main" id="{5C3A9979-87CA-E0A8-76F3-A88C10C060BA}"/>
            </a:ext>
          </a:extLst>
        </xdr:cNvPr>
        <xdr:cNvSpPr>
          <a:spLocks noChangeArrowheads="1"/>
        </xdr:cNvSpPr>
      </xdr:nvSpPr>
      <xdr:spPr bwMode="auto">
        <a:xfrm rot="10800000">
          <a:off x="292100" y="83439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62</xdr:row>
      <xdr:rowOff>38100</xdr:rowOff>
    </xdr:from>
    <xdr:to>
      <xdr:col>0</xdr:col>
      <xdr:colOff>393700</xdr:colOff>
      <xdr:row>62</xdr:row>
      <xdr:rowOff>114300</xdr:rowOff>
    </xdr:to>
    <xdr:sp macro="[0]!Spin_3_RVL_Bottom_Click" textlink="">
      <xdr:nvSpPr>
        <xdr:cNvPr id="135182" name="Spin_3_RVL_Bottom">
          <a:extLst>
            <a:ext uri="{FF2B5EF4-FFF2-40B4-BE49-F238E27FC236}">
              <a16:creationId xmlns:a16="http://schemas.microsoft.com/office/drawing/2014/main" id="{E8F17F72-16E0-425D-D211-C5A4E6DD0DD5}"/>
            </a:ext>
          </a:extLst>
        </xdr:cNvPr>
        <xdr:cNvSpPr>
          <a:spLocks noChangeArrowheads="1"/>
        </xdr:cNvSpPr>
      </xdr:nvSpPr>
      <xdr:spPr bwMode="auto">
        <a:xfrm>
          <a:off x="292100" y="8763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64</xdr:row>
      <xdr:rowOff>38100</xdr:rowOff>
    </xdr:from>
    <xdr:to>
      <xdr:col>0</xdr:col>
      <xdr:colOff>266700</xdr:colOff>
      <xdr:row>64</xdr:row>
      <xdr:rowOff>114300</xdr:rowOff>
    </xdr:to>
    <xdr:sp macro="[0]!Spin_2_VCL_Bottom_Click" textlink="">
      <xdr:nvSpPr>
        <xdr:cNvPr id="135183" name="Spin_2_VCL_Bottom">
          <a:extLst>
            <a:ext uri="{FF2B5EF4-FFF2-40B4-BE49-F238E27FC236}">
              <a16:creationId xmlns:a16="http://schemas.microsoft.com/office/drawing/2014/main" id="{A9DA995A-C4BC-6381-4788-5DB6B05D6414}"/>
            </a:ext>
          </a:extLst>
        </xdr:cNvPr>
        <xdr:cNvSpPr>
          <a:spLocks noChangeArrowheads="1"/>
        </xdr:cNvSpPr>
      </xdr:nvSpPr>
      <xdr:spPr bwMode="auto">
        <a:xfrm>
          <a:off x="165100" y="9042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66</xdr:row>
      <xdr:rowOff>38100</xdr:rowOff>
    </xdr:from>
    <xdr:to>
      <xdr:col>0</xdr:col>
      <xdr:colOff>127000</xdr:colOff>
      <xdr:row>66</xdr:row>
      <xdr:rowOff>114300</xdr:rowOff>
    </xdr:to>
    <xdr:sp macro="[0]!Spin_1_EXP_Top_Click" textlink="">
      <xdr:nvSpPr>
        <xdr:cNvPr id="135184" name="Spin_1_EXP_Top">
          <a:extLst>
            <a:ext uri="{FF2B5EF4-FFF2-40B4-BE49-F238E27FC236}">
              <a16:creationId xmlns:a16="http://schemas.microsoft.com/office/drawing/2014/main" id="{A5D5EC19-4C96-FFC9-8C6E-F2C46FA73C82}"/>
            </a:ext>
          </a:extLst>
        </xdr:cNvPr>
        <xdr:cNvSpPr>
          <a:spLocks noChangeArrowheads="1"/>
        </xdr:cNvSpPr>
      </xdr:nvSpPr>
      <xdr:spPr bwMode="auto">
        <a:xfrm rot="10800000">
          <a:off x="25400" y="9321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67</xdr:row>
      <xdr:rowOff>38100</xdr:rowOff>
    </xdr:from>
    <xdr:to>
      <xdr:col>0</xdr:col>
      <xdr:colOff>266700</xdr:colOff>
      <xdr:row>67</xdr:row>
      <xdr:rowOff>114300</xdr:rowOff>
    </xdr:to>
    <xdr:sp macro="[0]!Spin_2_TAX_Top_Click" textlink="">
      <xdr:nvSpPr>
        <xdr:cNvPr id="135185" name="Spin_2_TAX_Top">
          <a:extLst>
            <a:ext uri="{FF2B5EF4-FFF2-40B4-BE49-F238E27FC236}">
              <a16:creationId xmlns:a16="http://schemas.microsoft.com/office/drawing/2014/main" id="{DFA0D752-E523-EAD7-5017-70A722625171}"/>
            </a:ext>
          </a:extLst>
        </xdr:cNvPr>
        <xdr:cNvSpPr>
          <a:spLocks noChangeArrowheads="1"/>
        </xdr:cNvSpPr>
      </xdr:nvSpPr>
      <xdr:spPr bwMode="auto">
        <a:xfrm rot="10800000">
          <a:off x="165100" y="9461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70</xdr:row>
      <xdr:rowOff>38100</xdr:rowOff>
    </xdr:from>
    <xdr:to>
      <xdr:col>0</xdr:col>
      <xdr:colOff>393700</xdr:colOff>
      <xdr:row>70</xdr:row>
      <xdr:rowOff>114300</xdr:rowOff>
    </xdr:to>
    <xdr:sp macro="[0]!Spin_3_OTX_Top_Click" textlink="">
      <xdr:nvSpPr>
        <xdr:cNvPr id="135186" name="Spin_3_OTX_Top">
          <a:extLst>
            <a:ext uri="{FF2B5EF4-FFF2-40B4-BE49-F238E27FC236}">
              <a16:creationId xmlns:a16="http://schemas.microsoft.com/office/drawing/2014/main" id="{206DE101-5926-3C8B-2B37-3ED826D67264}"/>
            </a:ext>
          </a:extLst>
        </xdr:cNvPr>
        <xdr:cNvSpPr>
          <a:spLocks noChangeArrowheads="1"/>
        </xdr:cNvSpPr>
      </xdr:nvSpPr>
      <xdr:spPr bwMode="auto">
        <a:xfrm rot="10800000">
          <a:off x="292100" y="98806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71</xdr:row>
      <xdr:rowOff>38100</xdr:rowOff>
    </xdr:from>
    <xdr:to>
      <xdr:col>0</xdr:col>
      <xdr:colOff>393700</xdr:colOff>
      <xdr:row>71</xdr:row>
      <xdr:rowOff>114300</xdr:rowOff>
    </xdr:to>
    <xdr:sp macro="[0]!Spin_3_OTX_Bottom_Click" textlink="">
      <xdr:nvSpPr>
        <xdr:cNvPr id="135187" name="Spin_3_OTX_Bottom">
          <a:extLst>
            <a:ext uri="{FF2B5EF4-FFF2-40B4-BE49-F238E27FC236}">
              <a16:creationId xmlns:a16="http://schemas.microsoft.com/office/drawing/2014/main" id="{90ADD04B-B014-AB5E-D28E-ED7D3C842C7F}"/>
            </a:ext>
          </a:extLst>
        </xdr:cNvPr>
        <xdr:cNvSpPr>
          <a:spLocks noChangeArrowheads="1"/>
        </xdr:cNvSpPr>
      </xdr:nvSpPr>
      <xdr:spPr bwMode="auto">
        <a:xfrm>
          <a:off x="292100" y="10020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72</xdr:row>
      <xdr:rowOff>38100</xdr:rowOff>
    </xdr:from>
    <xdr:to>
      <xdr:col>0</xdr:col>
      <xdr:colOff>266700</xdr:colOff>
      <xdr:row>72</xdr:row>
      <xdr:rowOff>114300</xdr:rowOff>
    </xdr:to>
    <xdr:sp macro="[0]!Spin_2_TAX_Bottom_Click" textlink="">
      <xdr:nvSpPr>
        <xdr:cNvPr id="135188" name="Spin_2_TAX_Bottom">
          <a:extLst>
            <a:ext uri="{FF2B5EF4-FFF2-40B4-BE49-F238E27FC236}">
              <a16:creationId xmlns:a16="http://schemas.microsoft.com/office/drawing/2014/main" id="{2ADF75DC-362D-4C2B-DEF3-6DE76B1077DF}"/>
            </a:ext>
          </a:extLst>
        </xdr:cNvPr>
        <xdr:cNvSpPr>
          <a:spLocks noChangeArrowheads="1"/>
        </xdr:cNvSpPr>
      </xdr:nvSpPr>
      <xdr:spPr bwMode="auto">
        <a:xfrm>
          <a:off x="165100" y="10160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74</xdr:row>
      <xdr:rowOff>38100</xdr:rowOff>
    </xdr:from>
    <xdr:to>
      <xdr:col>0</xdr:col>
      <xdr:colOff>266700</xdr:colOff>
      <xdr:row>74</xdr:row>
      <xdr:rowOff>114300</xdr:rowOff>
    </xdr:to>
    <xdr:sp macro="[0]!Spin_2_INS_Top_Click" textlink="">
      <xdr:nvSpPr>
        <xdr:cNvPr id="135189" name="Spin_2_INS_Top">
          <a:extLst>
            <a:ext uri="{FF2B5EF4-FFF2-40B4-BE49-F238E27FC236}">
              <a16:creationId xmlns:a16="http://schemas.microsoft.com/office/drawing/2014/main" id="{18AEE40E-2648-F566-DF30-16AF32AD2FB6}"/>
            </a:ext>
          </a:extLst>
        </xdr:cNvPr>
        <xdr:cNvSpPr>
          <a:spLocks noChangeArrowheads="1"/>
        </xdr:cNvSpPr>
      </xdr:nvSpPr>
      <xdr:spPr bwMode="auto">
        <a:xfrm rot="10800000">
          <a:off x="165100" y="10439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82</xdr:row>
      <xdr:rowOff>38100</xdr:rowOff>
    </xdr:from>
    <xdr:to>
      <xdr:col>0</xdr:col>
      <xdr:colOff>393700</xdr:colOff>
      <xdr:row>82</xdr:row>
      <xdr:rowOff>114300</xdr:rowOff>
    </xdr:to>
    <xdr:sp macro="[0]!Spin_3_OIN_Top_Click" textlink="">
      <xdr:nvSpPr>
        <xdr:cNvPr id="135190" name="Spin_3_OIN_Top">
          <a:extLst>
            <a:ext uri="{FF2B5EF4-FFF2-40B4-BE49-F238E27FC236}">
              <a16:creationId xmlns:a16="http://schemas.microsoft.com/office/drawing/2014/main" id="{D0197DA6-9685-A588-1293-35694843B94B}"/>
            </a:ext>
          </a:extLst>
        </xdr:cNvPr>
        <xdr:cNvSpPr>
          <a:spLocks noChangeArrowheads="1"/>
        </xdr:cNvSpPr>
      </xdr:nvSpPr>
      <xdr:spPr bwMode="auto">
        <a:xfrm rot="10800000">
          <a:off x="292100" y="11557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83</xdr:row>
      <xdr:rowOff>38100</xdr:rowOff>
    </xdr:from>
    <xdr:to>
      <xdr:col>0</xdr:col>
      <xdr:colOff>393700</xdr:colOff>
      <xdr:row>83</xdr:row>
      <xdr:rowOff>114300</xdr:rowOff>
    </xdr:to>
    <xdr:sp macro="[0]!Spin_3_OIN_Bottom_Click" textlink="">
      <xdr:nvSpPr>
        <xdr:cNvPr id="135191" name="Spin_3_OIN_Bottom">
          <a:extLst>
            <a:ext uri="{FF2B5EF4-FFF2-40B4-BE49-F238E27FC236}">
              <a16:creationId xmlns:a16="http://schemas.microsoft.com/office/drawing/2014/main" id="{6267B5F2-99CC-ED72-7474-EA4A3135E874}"/>
            </a:ext>
          </a:extLst>
        </xdr:cNvPr>
        <xdr:cNvSpPr>
          <a:spLocks noChangeArrowheads="1"/>
        </xdr:cNvSpPr>
      </xdr:nvSpPr>
      <xdr:spPr bwMode="auto">
        <a:xfrm>
          <a:off x="292100" y="11696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84</xdr:row>
      <xdr:rowOff>38100</xdr:rowOff>
    </xdr:from>
    <xdr:to>
      <xdr:col>0</xdr:col>
      <xdr:colOff>266700</xdr:colOff>
      <xdr:row>84</xdr:row>
      <xdr:rowOff>114300</xdr:rowOff>
    </xdr:to>
    <xdr:sp macro="[0]!Spin_2_INS_Bottom_Click" textlink="">
      <xdr:nvSpPr>
        <xdr:cNvPr id="135192" name="Spin_2_INS_Bottom">
          <a:extLst>
            <a:ext uri="{FF2B5EF4-FFF2-40B4-BE49-F238E27FC236}">
              <a16:creationId xmlns:a16="http://schemas.microsoft.com/office/drawing/2014/main" id="{32749B9E-C4A8-1B91-B573-1B261ABB475A}"/>
            </a:ext>
          </a:extLst>
        </xdr:cNvPr>
        <xdr:cNvSpPr>
          <a:spLocks noChangeArrowheads="1"/>
        </xdr:cNvSpPr>
      </xdr:nvSpPr>
      <xdr:spPr bwMode="auto">
        <a:xfrm>
          <a:off x="165100" y="11836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85</xdr:row>
      <xdr:rowOff>38100</xdr:rowOff>
    </xdr:from>
    <xdr:to>
      <xdr:col>0</xdr:col>
      <xdr:colOff>266700</xdr:colOff>
      <xdr:row>85</xdr:row>
      <xdr:rowOff>114300</xdr:rowOff>
    </xdr:to>
    <xdr:sp macro="[0]!Spin_2_UTL_Top_Click" textlink="">
      <xdr:nvSpPr>
        <xdr:cNvPr id="135193" name="Spin_2_UTL_Top">
          <a:extLst>
            <a:ext uri="{FF2B5EF4-FFF2-40B4-BE49-F238E27FC236}">
              <a16:creationId xmlns:a16="http://schemas.microsoft.com/office/drawing/2014/main" id="{8E72760B-9E64-ACB0-5EE2-94B09C3E3A73}"/>
            </a:ext>
          </a:extLst>
        </xdr:cNvPr>
        <xdr:cNvSpPr>
          <a:spLocks noChangeArrowheads="1"/>
        </xdr:cNvSpPr>
      </xdr:nvSpPr>
      <xdr:spPr bwMode="auto">
        <a:xfrm rot="10800000">
          <a:off x="165100" y="11976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91</xdr:row>
      <xdr:rowOff>38100</xdr:rowOff>
    </xdr:from>
    <xdr:to>
      <xdr:col>0</xdr:col>
      <xdr:colOff>393700</xdr:colOff>
      <xdr:row>91</xdr:row>
      <xdr:rowOff>114300</xdr:rowOff>
    </xdr:to>
    <xdr:sp macro="[0]!Spin_3_OUT_Top_Click" textlink="">
      <xdr:nvSpPr>
        <xdr:cNvPr id="135194" name="Spin_3_OUT_Top">
          <a:extLst>
            <a:ext uri="{FF2B5EF4-FFF2-40B4-BE49-F238E27FC236}">
              <a16:creationId xmlns:a16="http://schemas.microsoft.com/office/drawing/2014/main" id="{0AC39EB8-5F86-4C9D-F85C-8A7C59953267}"/>
            </a:ext>
          </a:extLst>
        </xdr:cNvPr>
        <xdr:cNvSpPr>
          <a:spLocks noChangeArrowheads="1"/>
        </xdr:cNvSpPr>
      </xdr:nvSpPr>
      <xdr:spPr bwMode="auto">
        <a:xfrm rot="10800000">
          <a:off x="292100" y="12814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92</xdr:row>
      <xdr:rowOff>38100</xdr:rowOff>
    </xdr:from>
    <xdr:to>
      <xdr:col>0</xdr:col>
      <xdr:colOff>393700</xdr:colOff>
      <xdr:row>92</xdr:row>
      <xdr:rowOff>114300</xdr:rowOff>
    </xdr:to>
    <xdr:sp macro="[0]!Spin_3_OUT_Bottom_Click" textlink="">
      <xdr:nvSpPr>
        <xdr:cNvPr id="135195" name="Spin_3_OUT_Bottom">
          <a:extLst>
            <a:ext uri="{FF2B5EF4-FFF2-40B4-BE49-F238E27FC236}">
              <a16:creationId xmlns:a16="http://schemas.microsoft.com/office/drawing/2014/main" id="{DA270156-E58A-5576-20D0-3B4FC644ED02}"/>
            </a:ext>
          </a:extLst>
        </xdr:cNvPr>
        <xdr:cNvSpPr>
          <a:spLocks noChangeArrowheads="1"/>
        </xdr:cNvSpPr>
      </xdr:nvSpPr>
      <xdr:spPr bwMode="auto">
        <a:xfrm>
          <a:off x="292100" y="12954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93</xdr:row>
      <xdr:rowOff>38100</xdr:rowOff>
    </xdr:from>
    <xdr:to>
      <xdr:col>0</xdr:col>
      <xdr:colOff>266700</xdr:colOff>
      <xdr:row>93</xdr:row>
      <xdr:rowOff>114300</xdr:rowOff>
    </xdr:to>
    <xdr:sp macro="[0]!Spin_2_UTL_Bottom_Click" textlink="">
      <xdr:nvSpPr>
        <xdr:cNvPr id="135196" name="Spin_2_UTL_Bottom">
          <a:extLst>
            <a:ext uri="{FF2B5EF4-FFF2-40B4-BE49-F238E27FC236}">
              <a16:creationId xmlns:a16="http://schemas.microsoft.com/office/drawing/2014/main" id="{CF4A4089-18DF-3054-3BE9-B2B1C0996C41}"/>
            </a:ext>
          </a:extLst>
        </xdr:cNvPr>
        <xdr:cNvSpPr>
          <a:spLocks noChangeArrowheads="1"/>
        </xdr:cNvSpPr>
      </xdr:nvSpPr>
      <xdr:spPr bwMode="auto">
        <a:xfrm>
          <a:off x="165100" y="13093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94</xdr:row>
      <xdr:rowOff>38100</xdr:rowOff>
    </xdr:from>
    <xdr:to>
      <xdr:col>0</xdr:col>
      <xdr:colOff>266700</xdr:colOff>
      <xdr:row>94</xdr:row>
      <xdr:rowOff>114300</xdr:rowOff>
    </xdr:to>
    <xdr:sp macro="[0]!Spin_2_MR_Top_Click" textlink="">
      <xdr:nvSpPr>
        <xdr:cNvPr id="135197" name="Spin_2_MR_Top">
          <a:extLst>
            <a:ext uri="{FF2B5EF4-FFF2-40B4-BE49-F238E27FC236}">
              <a16:creationId xmlns:a16="http://schemas.microsoft.com/office/drawing/2014/main" id="{82320665-1B7B-D235-0704-758AA0EDEA09}"/>
            </a:ext>
          </a:extLst>
        </xdr:cNvPr>
        <xdr:cNvSpPr>
          <a:spLocks noChangeArrowheads="1"/>
        </xdr:cNvSpPr>
      </xdr:nvSpPr>
      <xdr:spPr bwMode="auto">
        <a:xfrm rot="10800000">
          <a:off x="165100" y="13233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105</xdr:row>
      <xdr:rowOff>38100</xdr:rowOff>
    </xdr:from>
    <xdr:to>
      <xdr:col>0</xdr:col>
      <xdr:colOff>393700</xdr:colOff>
      <xdr:row>105</xdr:row>
      <xdr:rowOff>114300</xdr:rowOff>
    </xdr:to>
    <xdr:sp macro="[0]!Spin_3_OMR_Top_Click" textlink="">
      <xdr:nvSpPr>
        <xdr:cNvPr id="135198" name="Spin_3_OMR_Top">
          <a:extLst>
            <a:ext uri="{FF2B5EF4-FFF2-40B4-BE49-F238E27FC236}">
              <a16:creationId xmlns:a16="http://schemas.microsoft.com/office/drawing/2014/main" id="{0E1F1062-DB20-3457-1A65-9854065D45BC}"/>
            </a:ext>
          </a:extLst>
        </xdr:cNvPr>
        <xdr:cNvSpPr>
          <a:spLocks noChangeArrowheads="1"/>
        </xdr:cNvSpPr>
      </xdr:nvSpPr>
      <xdr:spPr bwMode="auto">
        <a:xfrm rot="10800000">
          <a:off x="292100" y="14770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106</xdr:row>
      <xdr:rowOff>38100</xdr:rowOff>
    </xdr:from>
    <xdr:to>
      <xdr:col>0</xdr:col>
      <xdr:colOff>393700</xdr:colOff>
      <xdr:row>106</xdr:row>
      <xdr:rowOff>114300</xdr:rowOff>
    </xdr:to>
    <xdr:sp macro="[0]!Spin_3_OMR_Bottom_Click" textlink="">
      <xdr:nvSpPr>
        <xdr:cNvPr id="135199" name="Spin_3_OMR_Bottom">
          <a:extLst>
            <a:ext uri="{FF2B5EF4-FFF2-40B4-BE49-F238E27FC236}">
              <a16:creationId xmlns:a16="http://schemas.microsoft.com/office/drawing/2014/main" id="{92ED0CF4-2B1D-9420-F41B-163E182D5362}"/>
            </a:ext>
          </a:extLst>
        </xdr:cNvPr>
        <xdr:cNvSpPr>
          <a:spLocks noChangeArrowheads="1"/>
        </xdr:cNvSpPr>
      </xdr:nvSpPr>
      <xdr:spPr bwMode="auto">
        <a:xfrm>
          <a:off x="292100" y="14909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107</xdr:row>
      <xdr:rowOff>38100</xdr:rowOff>
    </xdr:from>
    <xdr:to>
      <xdr:col>0</xdr:col>
      <xdr:colOff>266700</xdr:colOff>
      <xdr:row>107</xdr:row>
      <xdr:rowOff>114300</xdr:rowOff>
    </xdr:to>
    <xdr:sp macro="[0]!Spin_2_MR_Bottom_Click" textlink="">
      <xdr:nvSpPr>
        <xdr:cNvPr id="135200" name="Spin_2_MR_Bottom">
          <a:extLst>
            <a:ext uri="{FF2B5EF4-FFF2-40B4-BE49-F238E27FC236}">
              <a16:creationId xmlns:a16="http://schemas.microsoft.com/office/drawing/2014/main" id="{AAAE2831-359A-9068-25D7-AF781AE1AD94}"/>
            </a:ext>
          </a:extLst>
        </xdr:cNvPr>
        <xdr:cNvSpPr>
          <a:spLocks noChangeArrowheads="1"/>
        </xdr:cNvSpPr>
      </xdr:nvSpPr>
      <xdr:spPr bwMode="auto">
        <a:xfrm>
          <a:off x="165100" y="15049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109</xdr:row>
      <xdr:rowOff>38100</xdr:rowOff>
    </xdr:from>
    <xdr:to>
      <xdr:col>0</xdr:col>
      <xdr:colOff>266700</xdr:colOff>
      <xdr:row>109</xdr:row>
      <xdr:rowOff>114300</xdr:rowOff>
    </xdr:to>
    <xdr:sp macro="[0]!Spin_2_PAY_Top_Click" textlink="">
      <xdr:nvSpPr>
        <xdr:cNvPr id="135201" name="Spin_2_PAY_Top">
          <a:extLst>
            <a:ext uri="{FF2B5EF4-FFF2-40B4-BE49-F238E27FC236}">
              <a16:creationId xmlns:a16="http://schemas.microsoft.com/office/drawing/2014/main" id="{97B9F177-ED0D-C44F-B8E8-121D6CE716A0}"/>
            </a:ext>
          </a:extLst>
        </xdr:cNvPr>
        <xdr:cNvSpPr>
          <a:spLocks noChangeArrowheads="1"/>
        </xdr:cNvSpPr>
      </xdr:nvSpPr>
      <xdr:spPr bwMode="auto">
        <a:xfrm rot="10800000">
          <a:off x="165100" y="153289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116</xdr:row>
      <xdr:rowOff>38100</xdr:rowOff>
    </xdr:from>
    <xdr:to>
      <xdr:col>0</xdr:col>
      <xdr:colOff>393700</xdr:colOff>
      <xdr:row>116</xdr:row>
      <xdr:rowOff>114300</xdr:rowOff>
    </xdr:to>
    <xdr:sp macro="[0]!Spin_3_OPY_Top_Click" textlink="">
      <xdr:nvSpPr>
        <xdr:cNvPr id="135202" name="Spin_3_OPY_Top">
          <a:extLst>
            <a:ext uri="{FF2B5EF4-FFF2-40B4-BE49-F238E27FC236}">
              <a16:creationId xmlns:a16="http://schemas.microsoft.com/office/drawing/2014/main" id="{C55E119B-EBA5-189C-25AB-5BB174D32898}"/>
            </a:ext>
          </a:extLst>
        </xdr:cNvPr>
        <xdr:cNvSpPr>
          <a:spLocks noChangeArrowheads="1"/>
        </xdr:cNvSpPr>
      </xdr:nvSpPr>
      <xdr:spPr bwMode="auto">
        <a:xfrm rot="10800000">
          <a:off x="292100" y="16306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117</xdr:row>
      <xdr:rowOff>38100</xdr:rowOff>
    </xdr:from>
    <xdr:to>
      <xdr:col>0</xdr:col>
      <xdr:colOff>393700</xdr:colOff>
      <xdr:row>117</xdr:row>
      <xdr:rowOff>114300</xdr:rowOff>
    </xdr:to>
    <xdr:sp macro="[0]!Spin_3_OPY_Bottom_Click" textlink="">
      <xdr:nvSpPr>
        <xdr:cNvPr id="135203" name="Spin_3_OPY_Bottom">
          <a:extLst>
            <a:ext uri="{FF2B5EF4-FFF2-40B4-BE49-F238E27FC236}">
              <a16:creationId xmlns:a16="http://schemas.microsoft.com/office/drawing/2014/main" id="{DF83C207-9C79-11D8-032D-D63EA149E3BE}"/>
            </a:ext>
          </a:extLst>
        </xdr:cNvPr>
        <xdr:cNvSpPr>
          <a:spLocks noChangeArrowheads="1"/>
        </xdr:cNvSpPr>
      </xdr:nvSpPr>
      <xdr:spPr bwMode="auto">
        <a:xfrm>
          <a:off x="292100" y="16446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118</xdr:row>
      <xdr:rowOff>38100</xdr:rowOff>
    </xdr:from>
    <xdr:to>
      <xdr:col>0</xdr:col>
      <xdr:colOff>266700</xdr:colOff>
      <xdr:row>118</xdr:row>
      <xdr:rowOff>114300</xdr:rowOff>
    </xdr:to>
    <xdr:sp macro="[0]!Spin_2_PAY_Bottom_Click" textlink="">
      <xdr:nvSpPr>
        <xdr:cNvPr id="135204" name="Spin_2_PAY_Bottom">
          <a:extLst>
            <a:ext uri="{FF2B5EF4-FFF2-40B4-BE49-F238E27FC236}">
              <a16:creationId xmlns:a16="http://schemas.microsoft.com/office/drawing/2014/main" id="{14A4049E-32FA-9BF0-E5B9-59360551BF1E}"/>
            </a:ext>
          </a:extLst>
        </xdr:cNvPr>
        <xdr:cNvSpPr>
          <a:spLocks noChangeArrowheads="1"/>
        </xdr:cNvSpPr>
      </xdr:nvSpPr>
      <xdr:spPr bwMode="auto">
        <a:xfrm>
          <a:off x="165100" y="165862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119</xdr:row>
      <xdr:rowOff>38100</xdr:rowOff>
    </xdr:from>
    <xdr:to>
      <xdr:col>0</xdr:col>
      <xdr:colOff>266700</xdr:colOff>
      <xdr:row>119</xdr:row>
      <xdr:rowOff>114300</xdr:rowOff>
    </xdr:to>
    <xdr:sp macro="[0]!Spin_2_GA_Top_Click" textlink="">
      <xdr:nvSpPr>
        <xdr:cNvPr id="135205" name="Spin_2_GA_Top">
          <a:extLst>
            <a:ext uri="{FF2B5EF4-FFF2-40B4-BE49-F238E27FC236}">
              <a16:creationId xmlns:a16="http://schemas.microsoft.com/office/drawing/2014/main" id="{0B59819D-ABBB-14DD-EF1E-DB255AC08C93}"/>
            </a:ext>
          </a:extLst>
        </xdr:cNvPr>
        <xdr:cNvSpPr>
          <a:spLocks noChangeArrowheads="1"/>
        </xdr:cNvSpPr>
      </xdr:nvSpPr>
      <xdr:spPr bwMode="auto">
        <a:xfrm rot="10800000">
          <a:off x="165100" y="167259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130</xdr:row>
      <xdr:rowOff>38100</xdr:rowOff>
    </xdr:from>
    <xdr:to>
      <xdr:col>0</xdr:col>
      <xdr:colOff>393700</xdr:colOff>
      <xdr:row>130</xdr:row>
      <xdr:rowOff>114300</xdr:rowOff>
    </xdr:to>
    <xdr:sp macro="[0]!Spin_3_OGA_Top_Click" textlink="">
      <xdr:nvSpPr>
        <xdr:cNvPr id="135206" name="Spin_3_OGA_Top">
          <a:extLst>
            <a:ext uri="{FF2B5EF4-FFF2-40B4-BE49-F238E27FC236}">
              <a16:creationId xmlns:a16="http://schemas.microsoft.com/office/drawing/2014/main" id="{B2F0D7FC-C343-2619-BDCF-F97D3318EBA0}"/>
            </a:ext>
          </a:extLst>
        </xdr:cNvPr>
        <xdr:cNvSpPr>
          <a:spLocks noChangeArrowheads="1"/>
        </xdr:cNvSpPr>
      </xdr:nvSpPr>
      <xdr:spPr bwMode="auto">
        <a:xfrm rot="10800000">
          <a:off x="292100" y="182626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131</xdr:row>
      <xdr:rowOff>38100</xdr:rowOff>
    </xdr:from>
    <xdr:to>
      <xdr:col>0</xdr:col>
      <xdr:colOff>393700</xdr:colOff>
      <xdr:row>131</xdr:row>
      <xdr:rowOff>114300</xdr:rowOff>
    </xdr:to>
    <xdr:sp macro="[0]!Spin_3_OGA_Bottom_Click" textlink="">
      <xdr:nvSpPr>
        <xdr:cNvPr id="135207" name="Spin_3_OGA_Bottom">
          <a:extLst>
            <a:ext uri="{FF2B5EF4-FFF2-40B4-BE49-F238E27FC236}">
              <a16:creationId xmlns:a16="http://schemas.microsoft.com/office/drawing/2014/main" id="{F78BDF42-69EB-3C8C-ECE0-B01FECD511A2}"/>
            </a:ext>
          </a:extLst>
        </xdr:cNvPr>
        <xdr:cNvSpPr>
          <a:spLocks noChangeArrowheads="1"/>
        </xdr:cNvSpPr>
      </xdr:nvSpPr>
      <xdr:spPr bwMode="auto">
        <a:xfrm>
          <a:off x="292100" y="18402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132</xdr:row>
      <xdr:rowOff>38100</xdr:rowOff>
    </xdr:from>
    <xdr:to>
      <xdr:col>0</xdr:col>
      <xdr:colOff>266700</xdr:colOff>
      <xdr:row>132</xdr:row>
      <xdr:rowOff>114300</xdr:rowOff>
    </xdr:to>
    <xdr:sp macro="[0]!Spin_2_GA_Bottom_Click" textlink="">
      <xdr:nvSpPr>
        <xdr:cNvPr id="135208" name="Spin_2_GA_Bottom">
          <a:extLst>
            <a:ext uri="{FF2B5EF4-FFF2-40B4-BE49-F238E27FC236}">
              <a16:creationId xmlns:a16="http://schemas.microsoft.com/office/drawing/2014/main" id="{F8F04DBE-39ED-E6F6-BC17-1AADDAE08095}"/>
            </a:ext>
          </a:extLst>
        </xdr:cNvPr>
        <xdr:cNvSpPr>
          <a:spLocks noChangeArrowheads="1"/>
        </xdr:cNvSpPr>
      </xdr:nvSpPr>
      <xdr:spPr bwMode="auto">
        <a:xfrm>
          <a:off x="165100" y="18542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133</xdr:row>
      <xdr:rowOff>38100</xdr:rowOff>
    </xdr:from>
    <xdr:to>
      <xdr:col>0</xdr:col>
      <xdr:colOff>266700</xdr:colOff>
      <xdr:row>133</xdr:row>
      <xdr:rowOff>114300</xdr:rowOff>
    </xdr:to>
    <xdr:sp macro="[0]!Spin_2_SXP_Top_Click" textlink="">
      <xdr:nvSpPr>
        <xdr:cNvPr id="135209" name="Spin_2_SXP_Top">
          <a:extLst>
            <a:ext uri="{FF2B5EF4-FFF2-40B4-BE49-F238E27FC236}">
              <a16:creationId xmlns:a16="http://schemas.microsoft.com/office/drawing/2014/main" id="{3C00A63E-096B-0E1F-F3E7-BA2E3D90077E}"/>
            </a:ext>
          </a:extLst>
        </xdr:cNvPr>
        <xdr:cNvSpPr>
          <a:spLocks noChangeArrowheads="1"/>
        </xdr:cNvSpPr>
      </xdr:nvSpPr>
      <xdr:spPr bwMode="auto">
        <a:xfrm rot="10800000">
          <a:off x="165100" y="18681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134</xdr:row>
      <xdr:rowOff>38100</xdr:rowOff>
    </xdr:from>
    <xdr:to>
      <xdr:col>0</xdr:col>
      <xdr:colOff>393700</xdr:colOff>
      <xdr:row>134</xdr:row>
      <xdr:rowOff>114300</xdr:rowOff>
    </xdr:to>
    <xdr:sp macro="[0]!Spin_3_SGA_Top_Click" textlink="">
      <xdr:nvSpPr>
        <xdr:cNvPr id="135210" name="Spin_3_SGA_Top">
          <a:extLst>
            <a:ext uri="{FF2B5EF4-FFF2-40B4-BE49-F238E27FC236}">
              <a16:creationId xmlns:a16="http://schemas.microsoft.com/office/drawing/2014/main" id="{53CB01F4-A312-7FBF-B84F-3F4A4C812833}"/>
            </a:ext>
          </a:extLst>
        </xdr:cNvPr>
        <xdr:cNvSpPr>
          <a:spLocks noChangeArrowheads="1"/>
        </xdr:cNvSpPr>
      </xdr:nvSpPr>
      <xdr:spPr bwMode="auto">
        <a:xfrm rot="10800000">
          <a:off x="292100" y="18821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431800</xdr:colOff>
      <xdr:row>143</xdr:row>
      <xdr:rowOff>38100</xdr:rowOff>
    </xdr:from>
    <xdr:to>
      <xdr:col>0</xdr:col>
      <xdr:colOff>533400</xdr:colOff>
      <xdr:row>143</xdr:row>
      <xdr:rowOff>114300</xdr:rowOff>
    </xdr:to>
    <xdr:sp macro="[0]!Spin_4_SOG_Top_Click" textlink="">
      <xdr:nvSpPr>
        <xdr:cNvPr id="135211" name="Spin_4_SOG_Top">
          <a:extLst>
            <a:ext uri="{FF2B5EF4-FFF2-40B4-BE49-F238E27FC236}">
              <a16:creationId xmlns:a16="http://schemas.microsoft.com/office/drawing/2014/main" id="{A2D84A92-317A-4E54-7223-2592409994CC}"/>
            </a:ext>
          </a:extLst>
        </xdr:cNvPr>
        <xdr:cNvSpPr>
          <a:spLocks noChangeArrowheads="1"/>
        </xdr:cNvSpPr>
      </xdr:nvSpPr>
      <xdr:spPr bwMode="auto">
        <a:xfrm rot="10800000">
          <a:off x="431800" y="20078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431800</xdr:colOff>
      <xdr:row>144</xdr:row>
      <xdr:rowOff>38100</xdr:rowOff>
    </xdr:from>
    <xdr:to>
      <xdr:col>0</xdr:col>
      <xdr:colOff>533400</xdr:colOff>
      <xdr:row>144</xdr:row>
      <xdr:rowOff>114300</xdr:rowOff>
    </xdr:to>
    <xdr:sp macro="[0]!Spin_4_SOG_Bottom_Click" textlink="">
      <xdr:nvSpPr>
        <xdr:cNvPr id="135212" name="Spin_4_SOG_Bottom">
          <a:extLst>
            <a:ext uri="{FF2B5EF4-FFF2-40B4-BE49-F238E27FC236}">
              <a16:creationId xmlns:a16="http://schemas.microsoft.com/office/drawing/2014/main" id="{22B5DDCB-8FB9-6BDA-C8C4-27DCD199CCC7}"/>
            </a:ext>
          </a:extLst>
        </xdr:cNvPr>
        <xdr:cNvSpPr>
          <a:spLocks noChangeArrowheads="1"/>
        </xdr:cNvSpPr>
      </xdr:nvSpPr>
      <xdr:spPr bwMode="auto">
        <a:xfrm>
          <a:off x="431800" y="20218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145</xdr:row>
      <xdr:rowOff>38100</xdr:rowOff>
    </xdr:from>
    <xdr:to>
      <xdr:col>0</xdr:col>
      <xdr:colOff>393700</xdr:colOff>
      <xdr:row>145</xdr:row>
      <xdr:rowOff>114300</xdr:rowOff>
    </xdr:to>
    <xdr:sp macro="[0]!Spin_3_SGA_Bottom_Click" textlink="">
      <xdr:nvSpPr>
        <xdr:cNvPr id="135213" name="Spin_3_SGA_Bottom">
          <a:extLst>
            <a:ext uri="{FF2B5EF4-FFF2-40B4-BE49-F238E27FC236}">
              <a16:creationId xmlns:a16="http://schemas.microsoft.com/office/drawing/2014/main" id="{C90E2633-3F1D-F352-5E72-FA8C7BEED346}"/>
            </a:ext>
          </a:extLst>
        </xdr:cNvPr>
        <xdr:cNvSpPr>
          <a:spLocks noChangeArrowheads="1"/>
        </xdr:cNvSpPr>
      </xdr:nvSpPr>
      <xdr:spPr bwMode="auto">
        <a:xfrm>
          <a:off x="292100" y="20358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146</xdr:row>
      <xdr:rowOff>38100</xdr:rowOff>
    </xdr:from>
    <xdr:to>
      <xdr:col>0</xdr:col>
      <xdr:colOff>393700</xdr:colOff>
      <xdr:row>146</xdr:row>
      <xdr:rowOff>114300</xdr:rowOff>
    </xdr:to>
    <xdr:sp macro="[0]!Spin_3_SSV_Top_Click" textlink="">
      <xdr:nvSpPr>
        <xdr:cNvPr id="135214" name="Spin_3_SSV_Top">
          <a:extLst>
            <a:ext uri="{FF2B5EF4-FFF2-40B4-BE49-F238E27FC236}">
              <a16:creationId xmlns:a16="http://schemas.microsoft.com/office/drawing/2014/main" id="{9DA0ECFC-915F-0215-0A64-05F8BB542C6C}"/>
            </a:ext>
          </a:extLst>
        </xdr:cNvPr>
        <xdr:cNvSpPr>
          <a:spLocks noChangeArrowheads="1"/>
        </xdr:cNvSpPr>
      </xdr:nvSpPr>
      <xdr:spPr bwMode="auto">
        <a:xfrm rot="10800000">
          <a:off x="292100" y="20497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431800</xdr:colOff>
      <xdr:row>156</xdr:row>
      <xdr:rowOff>38100</xdr:rowOff>
    </xdr:from>
    <xdr:to>
      <xdr:col>0</xdr:col>
      <xdr:colOff>533400</xdr:colOff>
      <xdr:row>156</xdr:row>
      <xdr:rowOff>114300</xdr:rowOff>
    </xdr:to>
    <xdr:sp macro="[0]!Spin_4_SOV_Top_Click" textlink="">
      <xdr:nvSpPr>
        <xdr:cNvPr id="135215" name="Spin_4_SOV_Top">
          <a:extLst>
            <a:ext uri="{FF2B5EF4-FFF2-40B4-BE49-F238E27FC236}">
              <a16:creationId xmlns:a16="http://schemas.microsoft.com/office/drawing/2014/main" id="{8B2C1E1A-EEFD-3FAC-9DAA-0B312FE3C0EC}"/>
            </a:ext>
          </a:extLst>
        </xdr:cNvPr>
        <xdr:cNvSpPr>
          <a:spLocks noChangeArrowheads="1"/>
        </xdr:cNvSpPr>
      </xdr:nvSpPr>
      <xdr:spPr bwMode="auto">
        <a:xfrm rot="10800000">
          <a:off x="431800" y="21894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431800</xdr:colOff>
      <xdr:row>157</xdr:row>
      <xdr:rowOff>38100</xdr:rowOff>
    </xdr:from>
    <xdr:to>
      <xdr:col>0</xdr:col>
      <xdr:colOff>533400</xdr:colOff>
      <xdr:row>157</xdr:row>
      <xdr:rowOff>114300</xdr:rowOff>
    </xdr:to>
    <xdr:sp macro="[0]!Spin_4_SOV_Bottom_Click" textlink="">
      <xdr:nvSpPr>
        <xdr:cNvPr id="135216" name="Spin_4_SOV_Bottom">
          <a:extLst>
            <a:ext uri="{FF2B5EF4-FFF2-40B4-BE49-F238E27FC236}">
              <a16:creationId xmlns:a16="http://schemas.microsoft.com/office/drawing/2014/main" id="{2CD3BF6C-578B-14BF-1A79-B71BD802A33F}"/>
            </a:ext>
          </a:extLst>
        </xdr:cNvPr>
        <xdr:cNvSpPr>
          <a:spLocks noChangeArrowheads="1"/>
        </xdr:cNvSpPr>
      </xdr:nvSpPr>
      <xdr:spPr bwMode="auto">
        <a:xfrm>
          <a:off x="431800" y="22034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158</xdr:row>
      <xdr:rowOff>38100</xdr:rowOff>
    </xdr:from>
    <xdr:to>
      <xdr:col>0</xdr:col>
      <xdr:colOff>393700</xdr:colOff>
      <xdr:row>158</xdr:row>
      <xdr:rowOff>114300</xdr:rowOff>
    </xdr:to>
    <xdr:sp macro="[0]!Spin_3_SSV_Bottom_Click" textlink="">
      <xdr:nvSpPr>
        <xdr:cNvPr id="135217" name="Spin_3_SSV_Bottom">
          <a:extLst>
            <a:ext uri="{FF2B5EF4-FFF2-40B4-BE49-F238E27FC236}">
              <a16:creationId xmlns:a16="http://schemas.microsoft.com/office/drawing/2014/main" id="{9273B028-D40D-7589-0974-620A7EC89BC5}"/>
            </a:ext>
          </a:extLst>
        </xdr:cNvPr>
        <xdr:cNvSpPr>
          <a:spLocks noChangeArrowheads="1"/>
        </xdr:cNvSpPr>
      </xdr:nvSpPr>
      <xdr:spPr bwMode="auto">
        <a:xfrm>
          <a:off x="292100" y="221742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159</xdr:row>
      <xdr:rowOff>38100</xdr:rowOff>
    </xdr:from>
    <xdr:to>
      <xdr:col>0</xdr:col>
      <xdr:colOff>266700</xdr:colOff>
      <xdr:row>159</xdr:row>
      <xdr:rowOff>114300</xdr:rowOff>
    </xdr:to>
    <xdr:sp macro="[0]!Spin_2_SXP_Bottom_Click" textlink="">
      <xdr:nvSpPr>
        <xdr:cNvPr id="135218" name="Spin_2_SXP_Bottom">
          <a:extLst>
            <a:ext uri="{FF2B5EF4-FFF2-40B4-BE49-F238E27FC236}">
              <a16:creationId xmlns:a16="http://schemas.microsoft.com/office/drawing/2014/main" id="{41F61347-547D-CE2D-377B-DB7B209578AF}"/>
            </a:ext>
          </a:extLst>
        </xdr:cNvPr>
        <xdr:cNvSpPr>
          <a:spLocks noChangeArrowheads="1"/>
        </xdr:cNvSpPr>
      </xdr:nvSpPr>
      <xdr:spPr bwMode="auto">
        <a:xfrm>
          <a:off x="165100" y="223139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160</xdr:row>
      <xdr:rowOff>38100</xdr:rowOff>
    </xdr:from>
    <xdr:to>
      <xdr:col>0</xdr:col>
      <xdr:colOff>266700</xdr:colOff>
      <xdr:row>160</xdr:row>
      <xdr:rowOff>114300</xdr:rowOff>
    </xdr:to>
    <xdr:sp macro="[0]!Spin_2_PRO_Top_Click" textlink="">
      <xdr:nvSpPr>
        <xdr:cNvPr id="135219" name="Spin_2_PRO_Top">
          <a:extLst>
            <a:ext uri="{FF2B5EF4-FFF2-40B4-BE49-F238E27FC236}">
              <a16:creationId xmlns:a16="http://schemas.microsoft.com/office/drawing/2014/main" id="{D56AAF82-5CE6-2F5A-F20C-D77841B3D979}"/>
            </a:ext>
          </a:extLst>
        </xdr:cNvPr>
        <xdr:cNvSpPr>
          <a:spLocks noChangeArrowheads="1"/>
        </xdr:cNvSpPr>
      </xdr:nvSpPr>
      <xdr:spPr bwMode="auto">
        <a:xfrm rot="10800000">
          <a:off x="165100" y="224536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163</xdr:row>
      <xdr:rowOff>38100</xdr:rowOff>
    </xdr:from>
    <xdr:to>
      <xdr:col>0</xdr:col>
      <xdr:colOff>393700</xdr:colOff>
      <xdr:row>163</xdr:row>
      <xdr:rowOff>114300</xdr:rowOff>
    </xdr:to>
    <xdr:sp macro="[0]!Spin_3_OPR_Top_Click" textlink="">
      <xdr:nvSpPr>
        <xdr:cNvPr id="135220" name="Spin_3_OPR_Top">
          <a:extLst>
            <a:ext uri="{FF2B5EF4-FFF2-40B4-BE49-F238E27FC236}">
              <a16:creationId xmlns:a16="http://schemas.microsoft.com/office/drawing/2014/main" id="{8AE0C9C0-132F-2677-536A-CD8EB2D5501B}"/>
            </a:ext>
          </a:extLst>
        </xdr:cNvPr>
        <xdr:cNvSpPr>
          <a:spLocks noChangeArrowheads="1"/>
        </xdr:cNvSpPr>
      </xdr:nvSpPr>
      <xdr:spPr bwMode="auto">
        <a:xfrm rot="10800000">
          <a:off x="292100" y="22872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292100</xdr:colOff>
      <xdr:row>164</xdr:row>
      <xdr:rowOff>38100</xdr:rowOff>
    </xdr:from>
    <xdr:to>
      <xdr:col>0</xdr:col>
      <xdr:colOff>393700</xdr:colOff>
      <xdr:row>164</xdr:row>
      <xdr:rowOff>114300</xdr:rowOff>
    </xdr:to>
    <xdr:sp macro="[0]!Spin_3_OPR_Bottom_Click" textlink="">
      <xdr:nvSpPr>
        <xdr:cNvPr id="135221" name="Spin_3_OPR_Bottom">
          <a:extLst>
            <a:ext uri="{FF2B5EF4-FFF2-40B4-BE49-F238E27FC236}">
              <a16:creationId xmlns:a16="http://schemas.microsoft.com/office/drawing/2014/main" id="{53713954-E453-4BE8-6900-3D0E088CA0AC}"/>
            </a:ext>
          </a:extLst>
        </xdr:cNvPr>
        <xdr:cNvSpPr>
          <a:spLocks noChangeArrowheads="1"/>
        </xdr:cNvSpPr>
      </xdr:nvSpPr>
      <xdr:spPr bwMode="auto">
        <a:xfrm>
          <a:off x="292100" y="230124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165</xdr:row>
      <xdr:rowOff>38100</xdr:rowOff>
    </xdr:from>
    <xdr:to>
      <xdr:col>0</xdr:col>
      <xdr:colOff>266700</xdr:colOff>
      <xdr:row>165</xdr:row>
      <xdr:rowOff>114300</xdr:rowOff>
    </xdr:to>
    <xdr:sp macro="[0]!Spin_2_PRO_Bottom_Click" textlink="">
      <xdr:nvSpPr>
        <xdr:cNvPr id="135222" name="Spin_2_PRO_Bottom">
          <a:extLst>
            <a:ext uri="{FF2B5EF4-FFF2-40B4-BE49-F238E27FC236}">
              <a16:creationId xmlns:a16="http://schemas.microsoft.com/office/drawing/2014/main" id="{0240BC62-7222-C4E3-488D-7C4AF76252C0}"/>
            </a:ext>
          </a:extLst>
        </xdr:cNvPr>
        <xdr:cNvSpPr>
          <a:spLocks noChangeArrowheads="1"/>
        </xdr:cNvSpPr>
      </xdr:nvSpPr>
      <xdr:spPr bwMode="auto">
        <a:xfrm>
          <a:off x="165100" y="23152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168</xdr:row>
      <xdr:rowOff>38100</xdr:rowOff>
    </xdr:from>
    <xdr:to>
      <xdr:col>0</xdr:col>
      <xdr:colOff>266700</xdr:colOff>
      <xdr:row>168</xdr:row>
      <xdr:rowOff>114300</xdr:rowOff>
    </xdr:to>
    <xdr:sp macro="[0]!Spin_2_OXP_Top_Click" textlink="">
      <xdr:nvSpPr>
        <xdr:cNvPr id="135223" name="Spin_2_OXP_Top">
          <a:extLst>
            <a:ext uri="{FF2B5EF4-FFF2-40B4-BE49-F238E27FC236}">
              <a16:creationId xmlns:a16="http://schemas.microsoft.com/office/drawing/2014/main" id="{C6570F14-88AA-7838-210A-EB3C20A2ECF8}"/>
            </a:ext>
          </a:extLst>
        </xdr:cNvPr>
        <xdr:cNvSpPr>
          <a:spLocks noChangeArrowheads="1"/>
        </xdr:cNvSpPr>
      </xdr:nvSpPr>
      <xdr:spPr bwMode="auto">
        <a:xfrm rot="10800000">
          <a:off x="165100" y="235712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169</xdr:row>
      <xdr:rowOff>38100</xdr:rowOff>
    </xdr:from>
    <xdr:to>
      <xdr:col>0</xdr:col>
      <xdr:colOff>266700</xdr:colOff>
      <xdr:row>169</xdr:row>
      <xdr:rowOff>114300</xdr:rowOff>
    </xdr:to>
    <xdr:sp macro="[0]!Spin_2_OXP_Bottom_Click" textlink="">
      <xdr:nvSpPr>
        <xdr:cNvPr id="135224" name="Spin_2_OXP_Bottom">
          <a:extLst>
            <a:ext uri="{FF2B5EF4-FFF2-40B4-BE49-F238E27FC236}">
              <a16:creationId xmlns:a16="http://schemas.microsoft.com/office/drawing/2014/main" id="{2F8E89CF-A821-A11E-A24D-1AE012AA1EC6}"/>
            </a:ext>
          </a:extLst>
        </xdr:cNvPr>
        <xdr:cNvSpPr>
          <a:spLocks noChangeArrowheads="1"/>
        </xdr:cNvSpPr>
      </xdr:nvSpPr>
      <xdr:spPr bwMode="auto">
        <a:xfrm>
          <a:off x="165100" y="237109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170</xdr:row>
      <xdr:rowOff>38100</xdr:rowOff>
    </xdr:from>
    <xdr:to>
      <xdr:col>0</xdr:col>
      <xdr:colOff>127000</xdr:colOff>
      <xdr:row>170</xdr:row>
      <xdr:rowOff>114300</xdr:rowOff>
    </xdr:to>
    <xdr:sp macro="[0]!Spin_1_EXP_Bottom_Click" textlink="">
      <xdr:nvSpPr>
        <xdr:cNvPr id="135225" name="Spin_1_EXP_Bottom">
          <a:extLst>
            <a:ext uri="{FF2B5EF4-FFF2-40B4-BE49-F238E27FC236}">
              <a16:creationId xmlns:a16="http://schemas.microsoft.com/office/drawing/2014/main" id="{C7AD89B0-1026-AED3-D385-8193BD7FC21E}"/>
            </a:ext>
          </a:extLst>
        </xdr:cNvPr>
        <xdr:cNvSpPr>
          <a:spLocks noChangeArrowheads="1"/>
        </xdr:cNvSpPr>
      </xdr:nvSpPr>
      <xdr:spPr bwMode="auto">
        <a:xfrm>
          <a:off x="25400" y="238506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171</xdr:row>
      <xdr:rowOff>38100</xdr:rowOff>
    </xdr:from>
    <xdr:to>
      <xdr:col>0</xdr:col>
      <xdr:colOff>127000</xdr:colOff>
      <xdr:row>171</xdr:row>
      <xdr:rowOff>114300</xdr:rowOff>
    </xdr:to>
    <xdr:sp macro="[0]!Spin_1_RES_Top_Click" textlink="">
      <xdr:nvSpPr>
        <xdr:cNvPr id="135226" name="Spin_1_RES_Top">
          <a:extLst>
            <a:ext uri="{FF2B5EF4-FFF2-40B4-BE49-F238E27FC236}">
              <a16:creationId xmlns:a16="http://schemas.microsoft.com/office/drawing/2014/main" id="{1DD4D21F-3678-5A79-2F0D-167B5E34E107}"/>
            </a:ext>
          </a:extLst>
        </xdr:cNvPr>
        <xdr:cNvSpPr>
          <a:spLocks noChangeArrowheads="1"/>
        </xdr:cNvSpPr>
      </xdr:nvSpPr>
      <xdr:spPr bwMode="auto">
        <a:xfrm rot="10800000">
          <a:off x="25400" y="23990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180</xdr:row>
      <xdr:rowOff>38100</xdr:rowOff>
    </xdr:from>
    <xdr:to>
      <xdr:col>0</xdr:col>
      <xdr:colOff>266700</xdr:colOff>
      <xdr:row>180</xdr:row>
      <xdr:rowOff>114300</xdr:rowOff>
    </xdr:to>
    <xdr:sp macro="[0]!Spin_2_ORS_Top_Click" textlink="">
      <xdr:nvSpPr>
        <xdr:cNvPr id="135227" name="Spin_2_ORS_Top">
          <a:extLst>
            <a:ext uri="{FF2B5EF4-FFF2-40B4-BE49-F238E27FC236}">
              <a16:creationId xmlns:a16="http://schemas.microsoft.com/office/drawing/2014/main" id="{FB64A0F7-222E-BDCA-0051-263777F40C71}"/>
            </a:ext>
          </a:extLst>
        </xdr:cNvPr>
        <xdr:cNvSpPr>
          <a:spLocks noChangeArrowheads="1"/>
        </xdr:cNvSpPr>
      </xdr:nvSpPr>
      <xdr:spPr bwMode="auto">
        <a:xfrm rot="10800000">
          <a:off x="165100" y="252476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181</xdr:row>
      <xdr:rowOff>38100</xdr:rowOff>
    </xdr:from>
    <xdr:to>
      <xdr:col>0</xdr:col>
      <xdr:colOff>266700</xdr:colOff>
      <xdr:row>181</xdr:row>
      <xdr:rowOff>114300</xdr:rowOff>
    </xdr:to>
    <xdr:sp macro="[0]!Spin_2_ORS_Bottom_Click" textlink="">
      <xdr:nvSpPr>
        <xdr:cNvPr id="135228" name="Spin_2_ORS_Bottom">
          <a:extLst>
            <a:ext uri="{FF2B5EF4-FFF2-40B4-BE49-F238E27FC236}">
              <a16:creationId xmlns:a16="http://schemas.microsoft.com/office/drawing/2014/main" id="{67400316-8270-56EB-8368-50C718ADE855}"/>
            </a:ext>
          </a:extLst>
        </xdr:cNvPr>
        <xdr:cNvSpPr>
          <a:spLocks noChangeArrowheads="1"/>
        </xdr:cNvSpPr>
      </xdr:nvSpPr>
      <xdr:spPr bwMode="auto">
        <a:xfrm>
          <a:off x="165100" y="253873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182</xdr:row>
      <xdr:rowOff>38100</xdr:rowOff>
    </xdr:from>
    <xdr:to>
      <xdr:col>0</xdr:col>
      <xdr:colOff>127000</xdr:colOff>
      <xdr:row>182</xdr:row>
      <xdr:rowOff>114300</xdr:rowOff>
    </xdr:to>
    <xdr:sp macro="[0]!Spin_1_RES_Bottom_Click" textlink="">
      <xdr:nvSpPr>
        <xdr:cNvPr id="135229" name="Spin_1_RES_Bottom">
          <a:extLst>
            <a:ext uri="{FF2B5EF4-FFF2-40B4-BE49-F238E27FC236}">
              <a16:creationId xmlns:a16="http://schemas.microsoft.com/office/drawing/2014/main" id="{1C932FA3-0E60-0E2D-63F4-848A95B471A0}"/>
            </a:ext>
          </a:extLst>
        </xdr:cNvPr>
        <xdr:cNvSpPr>
          <a:spLocks noChangeArrowheads="1"/>
        </xdr:cNvSpPr>
      </xdr:nvSpPr>
      <xdr:spPr bwMode="auto">
        <a:xfrm>
          <a:off x="25400" y="255270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187</xdr:row>
      <xdr:rowOff>38100</xdr:rowOff>
    </xdr:from>
    <xdr:to>
      <xdr:col>0</xdr:col>
      <xdr:colOff>127000</xdr:colOff>
      <xdr:row>187</xdr:row>
      <xdr:rowOff>114300</xdr:rowOff>
    </xdr:to>
    <xdr:sp macro="[0]!Spin_1_DS_Top_Click" textlink="">
      <xdr:nvSpPr>
        <xdr:cNvPr id="135230" name="Spin_1_DS_Top">
          <a:extLst>
            <a:ext uri="{FF2B5EF4-FFF2-40B4-BE49-F238E27FC236}">
              <a16:creationId xmlns:a16="http://schemas.microsoft.com/office/drawing/2014/main" id="{D31D4C53-F3FD-5FA8-8651-0D7CF4B4F123}"/>
            </a:ext>
          </a:extLst>
        </xdr:cNvPr>
        <xdr:cNvSpPr>
          <a:spLocks noChangeArrowheads="1"/>
        </xdr:cNvSpPr>
      </xdr:nvSpPr>
      <xdr:spPr bwMode="auto">
        <a:xfrm rot="10800000">
          <a:off x="25400" y="26225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193</xdr:row>
      <xdr:rowOff>38100</xdr:rowOff>
    </xdr:from>
    <xdr:to>
      <xdr:col>0</xdr:col>
      <xdr:colOff>127000</xdr:colOff>
      <xdr:row>193</xdr:row>
      <xdr:rowOff>114300</xdr:rowOff>
    </xdr:to>
    <xdr:sp macro="[0]!Spin_1_DS_Bottom_Click" textlink="">
      <xdr:nvSpPr>
        <xdr:cNvPr id="135231" name="Spin_1_DS_Bottom">
          <a:extLst>
            <a:ext uri="{FF2B5EF4-FFF2-40B4-BE49-F238E27FC236}">
              <a16:creationId xmlns:a16="http://schemas.microsoft.com/office/drawing/2014/main" id="{FBFE7BE4-9980-CB02-96AF-847C7C7DB6D0}"/>
            </a:ext>
          </a:extLst>
        </xdr:cNvPr>
        <xdr:cNvSpPr>
          <a:spLocks noChangeArrowheads="1"/>
        </xdr:cNvSpPr>
      </xdr:nvSpPr>
      <xdr:spPr bwMode="auto">
        <a:xfrm>
          <a:off x="25400" y="270637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195</xdr:row>
      <xdr:rowOff>38100</xdr:rowOff>
    </xdr:from>
    <xdr:to>
      <xdr:col>0</xdr:col>
      <xdr:colOff>127000</xdr:colOff>
      <xdr:row>195</xdr:row>
      <xdr:rowOff>114300</xdr:rowOff>
    </xdr:to>
    <xdr:sp macro="[0]!Spin_1_CXP_Top_Click" textlink="">
      <xdr:nvSpPr>
        <xdr:cNvPr id="135232" name="Spin_1_CXP_Top">
          <a:extLst>
            <a:ext uri="{FF2B5EF4-FFF2-40B4-BE49-F238E27FC236}">
              <a16:creationId xmlns:a16="http://schemas.microsoft.com/office/drawing/2014/main" id="{A9695CCC-6BF1-8737-6E07-2D1D560FE0D8}"/>
            </a:ext>
          </a:extLst>
        </xdr:cNvPr>
        <xdr:cNvSpPr>
          <a:spLocks noChangeArrowheads="1"/>
        </xdr:cNvSpPr>
      </xdr:nvSpPr>
      <xdr:spPr bwMode="auto">
        <a:xfrm rot="10800000">
          <a:off x="25400" y="27343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197</xdr:row>
      <xdr:rowOff>38100</xdr:rowOff>
    </xdr:from>
    <xdr:to>
      <xdr:col>0</xdr:col>
      <xdr:colOff>266700</xdr:colOff>
      <xdr:row>197</xdr:row>
      <xdr:rowOff>114300</xdr:rowOff>
    </xdr:to>
    <xdr:sp macro="[0]!Spin_2_OCX_Top_Click" textlink="">
      <xdr:nvSpPr>
        <xdr:cNvPr id="135233" name="Spin_2_OCX_Top">
          <a:extLst>
            <a:ext uri="{FF2B5EF4-FFF2-40B4-BE49-F238E27FC236}">
              <a16:creationId xmlns:a16="http://schemas.microsoft.com/office/drawing/2014/main" id="{69547681-880F-0032-FDA0-E0F0DB090483}"/>
            </a:ext>
          </a:extLst>
        </xdr:cNvPr>
        <xdr:cNvSpPr>
          <a:spLocks noChangeArrowheads="1"/>
        </xdr:cNvSpPr>
      </xdr:nvSpPr>
      <xdr:spPr bwMode="auto">
        <a:xfrm rot="10800000">
          <a:off x="165100" y="276225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198</xdr:row>
      <xdr:rowOff>38100</xdr:rowOff>
    </xdr:from>
    <xdr:to>
      <xdr:col>0</xdr:col>
      <xdr:colOff>266700</xdr:colOff>
      <xdr:row>198</xdr:row>
      <xdr:rowOff>114300</xdr:rowOff>
    </xdr:to>
    <xdr:sp macro="[0]!Spin_2_OCX_Bottom_Click" textlink="">
      <xdr:nvSpPr>
        <xdr:cNvPr id="135234" name="Spin_2_OCX_Bottom">
          <a:extLst>
            <a:ext uri="{FF2B5EF4-FFF2-40B4-BE49-F238E27FC236}">
              <a16:creationId xmlns:a16="http://schemas.microsoft.com/office/drawing/2014/main" id="{98431A5B-2E22-83F7-C5C7-76EEB7C85AA0}"/>
            </a:ext>
          </a:extLst>
        </xdr:cNvPr>
        <xdr:cNvSpPr>
          <a:spLocks noChangeArrowheads="1"/>
        </xdr:cNvSpPr>
      </xdr:nvSpPr>
      <xdr:spPr bwMode="auto">
        <a:xfrm>
          <a:off x="165100" y="277622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199</xdr:row>
      <xdr:rowOff>38100</xdr:rowOff>
    </xdr:from>
    <xdr:to>
      <xdr:col>0</xdr:col>
      <xdr:colOff>127000</xdr:colOff>
      <xdr:row>199</xdr:row>
      <xdr:rowOff>114300</xdr:rowOff>
    </xdr:to>
    <xdr:sp macro="[0]!Spin_1_CXP_Bottom_Click" textlink="">
      <xdr:nvSpPr>
        <xdr:cNvPr id="135235" name="Spin_1_CXP_Bottom">
          <a:extLst>
            <a:ext uri="{FF2B5EF4-FFF2-40B4-BE49-F238E27FC236}">
              <a16:creationId xmlns:a16="http://schemas.microsoft.com/office/drawing/2014/main" id="{3EE4F914-4674-4E8A-1A77-633EA9A9FB6F}"/>
            </a:ext>
          </a:extLst>
        </xdr:cNvPr>
        <xdr:cNvSpPr>
          <a:spLocks noChangeArrowheads="1"/>
        </xdr:cNvSpPr>
      </xdr:nvSpPr>
      <xdr:spPr bwMode="auto">
        <a:xfrm>
          <a:off x="25400" y="279019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165100</xdr:colOff>
      <xdr:row>56</xdr:row>
      <xdr:rowOff>38100</xdr:rowOff>
    </xdr:from>
    <xdr:to>
      <xdr:col>0</xdr:col>
      <xdr:colOff>266700</xdr:colOff>
      <xdr:row>56</xdr:row>
      <xdr:rowOff>114300</xdr:rowOff>
    </xdr:to>
    <xdr:sp macro="[0]!Spin_2_SHI_Bottom_Click" textlink="">
      <xdr:nvSpPr>
        <xdr:cNvPr id="135236" name="Spin_2_SHI_Bottom">
          <a:extLst>
            <a:ext uri="{FF2B5EF4-FFF2-40B4-BE49-F238E27FC236}">
              <a16:creationId xmlns:a16="http://schemas.microsoft.com/office/drawing/2014/main" id="{DEDDD6CB-CDF6-8420-5AA1-0B0B0EC19A22}"/>
            </a:ext>
          </a:extLst>
        </xdr:cNvPr>
        <xdr:cNvSpPr>
          <a:spLocks noChangeArrowheads="1"/>
        </xdr:cNvSpPr>
      </xdr:nvSpPr>
      <xdr:spPr bwMode="auto">
        <a:xfrm>
          <a:off x="165100" y="79248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0</xdr:col>
      <xdr:colOff>25400</xdr:colOff>
      <xdr:row>2</xdr:row>
      <xdr:rowOff>50800</xdr:rowOff>
    </xdr:from>
    <xdr:to>
      <xdr:col>0</xdr:col>
      <xdr:colOff>127000</xdr:colOff>
      <xdr:row>2</xdr:row>
      <xdr:rowOff>127000</xdr:rowOff>
    </xdr:to>
    <xdr:sp macro="[0]!Spinner_Click_All" textlink="">
      <xdr:nvSpPr>
        <xdr:cNvPr id="135237" name="Spin_All_Top">
          <a:extLst>
            <a:ext uri="{FF2B5EF4-FFF2-40B4-BE49-F238E27FC236}">
              <a16:creationId xmlns:a16="http://schemas.microsoft.com/office/drawing/2014/main" id="{3397B32C-7632-126A-9206-575E087088C3}"/>
            </a:ext>
          </a:extLst>
        </xdr:cNvPr>
        <xdr:cNvSpPr>
          <a:spLocks noChangeArrowheads="1"/>
        </xdr:cNvSpPr>
      </xdr:nvSpPr>
      <xdr:spPr bwMode="auto">
        <a:xfrm rot="10800000">
          <a:off x="25400" y="3556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All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Arial" charset="0"/>
            <a:cs typeface="Arial" charset="0"/>
          </a:endParaRPr>
        </a:p>
      </xdr:txBody>
    </xdr:sp>
    <xdr:clientData fPrintsWithSheet="0"/>
  </xdr:twoCellAnchor>
  <xdr:twoCellAnchor>
    <xdr:from>
      <xdr:col>0</xdr:col>
      <xdr:colOff>279400</xdr:colOff>
      <xdr:row>45</xdr:row>
      <xdr:rowOff>38100</xdr:rowOff>
    </xdr:from>
    <xdr:to>
      <xdr:col>0</xdr:col>
      <xdr:colOff>381000</xdr:colOff>
      <xdr:row>45</xdr:row>
      <xdr:rowOff>114300</xdr:rowOff>
    </xdr:to>
    <xdr:sp macro="[0]!Spin_3_SMS_Bottom_Click" textlink="">
      <xdr:nvSpPr>
        <xdr:cNvPr id="135238" name="Spin_3_SMS_Top">
          <a:extLst>
            <a:ext uri="{FF2B5EF4-FFF2-40B4-BE49-F238E27FC236}">
              <a16:creationId xmlns:a16="http://schemas.microsoft.com/office/drawing/2014/main" id="{8752E24C-7CAB-A3DB-C125-223ABB321BFC}"/>
            </a:ext>
          </a:extLst>
        </xdr:cNvPr>
        <xdr:cNvSpPr>
          <a:spLocks noChangeArrowheads="1"/>
        </xdr:cNvSpPr>
      </xdr:nvSpPr>
      <xdr:spPr bwMode="auto">
        <a:xfrm rot="10800000">
          <a:off x="279400" y="6388100"/>
          <a:ext cx="101600" cy="76200"/>
        </a:xfrm>
        <a:prstGeom prst="triangle">
          <a:avLst>
            <a:gd name="adj" fmla="val 49995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1</a:t>
          </a:r>
        </a:p>
      </xdr:txBody>
    </xdr:sp>
    <xdr:clientData fPrintsWithSheet="0"/>
  </xdr:twoCellAnchor>
  <xdr:twoCellAnchor>
    <xdr:from>
      <xdr:col>0</xdr:col>
      <xdr:colOff>25400</xdr:colOff>
      <xdr:row>65</xdr:row>
      <xdr:rowOff>38100</xdr:rowOff>
    </xdr:from>
    <xdr:to>
      <xdr:col>0</xdr:col>
      <xdr:colOff>127000</xdr:colOff>
      <xdr:row>65</xdr:row>
      <xdr:rowOff>114300</xdr:rowOff>
    </xdr:to>
    <xdr:sp macro="[0]!Spin_1_INC_Bottom_Click" textlink="">
      <xdr:nvSpPr>
        <xdr:cNvPr id="135254" name="Spin_1_INC_Bottom">
          <a:extLst>
            <a:ext uri="{FF2B5EF4-FFF2-40B4-BE49-F238E27FC236}">
              <a16:creationId xmlns:a16="http://schemas.microsoft.com/office/drawing/2014/main" id="{B760C1B9-19DB-8411-DA05-0C707356FF07}"/>
            </a:ext>
          </a:extLst>
        </xdr:cNvPr>
        <xdr:cNvSpPr>
          <a:spLocks noChangeArrowheads="1"/>
        </xdr:cNvSpPr>
      </xdr:nvSpPr>
      <xdr:spPr bwMode="auto">
        <a:xfrm>
          <a:off x="25400" y="9182100"/>
          <a:ext cx="101600" cy="76200"/>
        </a:xfrm>
        <a:prstGeom prst="triangle">
          <a:avLst>
            <a:gd name="adj" fmla="val 49551"/>
          </a:avLst>
        </a:prstGeom>
        <a:solidFill>
          <a:srgbClr xmlns:mc="http://schemas.openxmlformats.org/markup-compatibility/2006" xmlns:a14="http://schemas.microsoft.com/office/drawing/2010/main" val="D97600" mc:Ignorable="a14" a14:legacySpreadsheetColorIndex="2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660400</xdr:colOff>
          <xdr:row>0</xdr:row>
          <xdr:rowOff>38100</xdr:rowOff>
        </xdr:from>
        <xdr:to>
          <xdr:col>2</xdr:col>
          <xdr:colOff>800100</xdr:colOff>
          <xdr:row>1</xdr:row>
          <xdr:rowOff>127000</xdr:rowOff>
        </xdr:to>
        <xdr:sp macro="" textlink="">
          <xdr:nvSpPr>
            <xdr:cNvPr id="135268" name="Spinner 100" hidden="1">
              <a:extLst>
                <a:ext uri="{63B3BB69-23CF-44E3-9099-C40C66FF867C}">
                  <a14:compatExt spid="_x0000_s135268"/>
                </a:ext>
                <a:ext uri="{FF2B5EF4-FFF2-40B4-BE49-F238E27FC236}">
                  <a16:creationId xmlns:a16="http://schemas.microsoft.com/office/drawing/2014/main" id="{9DBF5E99-F1AD-29A5-8C17-7344E1850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 algn="ctr"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68686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C0000" mc:Ignorable="a14" a14:legacySpreadsheetColorIndex="1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C0000" mc:Ignorable="a14" a14:legacySpreadsheetColorIndex="1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F78-ED32-AF40-9EF2-133A3F06A239}">
  <sheetPr codeName="Proj_Template">
    <outlinePr summaryRight="0"/>
    <pageSetUpPr fitToPage="1"/>
  </sheetPr>
  <dimension ref="A1:J237"/>
  <sheetViews>
    <sheetView showGridLines="0" tabSelected="1" showOutlineSymbols="0" workbookViewId="0">
      <pane xSplit="2" ySplit="3" topLeftCell="C116" activePane="bottomRight" state="frozenSplit"/>
      <selection activeCell="F18" sqref="F18"/>
      <selection pane="topRight" activeCell="F18" sqref="F18"/>
      <selection pane="bottomLeft" activeCell="F18" sqref="F18"/>
      <selection pane="bottomRight" activeCell="A138" sqref="A138:B138"/>
    </sheetView>
  </sheetViews>
  <sheetFormatPr baseColWidth="10" defaultColWidth="9.1640625" defaultRowHeight="11" outlineLevelRow="4" x14ac:dyDescent="0.15"/>
  <cols>
    <col min="1" max="1" width="12.5" style="4" customWidth="1"/>
    <col min="2" max="2" width="24.5" style="4" customWidth="1"/>
    <col min="3" max="3" width="10.6640625" style="1" customWidth="1"/>
    <col min="4" max="4" width="8.6640625" style="1" customWidth="1"/>
    <col min="5" max="6" width="10.6640625" style="1" customWidth="1"/>
    <col min="7" max="16384" width="9.1640625" style="1"/>
  </cols>
  <sheetData>
    <row r="1" spans="1:10" ht="13" x14ac:dyDescent="0.15">
      <c r="A1" s="75" t="s">
        <v>206</v>
      </c>
      <c r="B1" s="75"/>
      <c r="C1" s="73">
        <v>40</v>
      </c>
      <c r="D1" s="68"/>
    </row>
    <row r="2" spans="1:10" ht="11.25" customHeight="1" x14ac:dyDescent="0.15">
      <c r="A2" s="75"/>
      <c r="B2" s="75"/>
      <c r="C2" s="74"/>
      <c r="D2" s="69"/>
      <c r="G2" s="1" t="s">
        <v>207</v>
      </c>
    </row>
    <row r="3" spans="1:10" ht="12.75" customHeight="1" x14ac:dyDescent="0.15">
      <c r="A3" s="66" t="s">
        <v>181</v>
      </c>
      <c r="B3" s="65"/>
      <c r="C3" s="71">
        <v>2004</v>
      </c>
      <c r="D3" s="67" t="s">
        <v>205</v>
      </c>
      <c r="E3" s="72">
        <f>C3+1</f>
        <v>2005</v>
      </c>
      <c r="F3" s="5"/>
      <c r="G3" s="1" t="s">
        <v>208</v>
      </c>
      <c r="H3" s="1" t="e">
        <f>G3+1</f>
        <v>#VALUE!</v>
      </c>
      <c r="I3" s="1" t="s">
        <v>204</v>
      </c>
      <c r="J3" s="1" t="e">
        <f>#REF!</f>
        <v>#REF!</v>
      </c>
    </row>
    <row r="4" spans="1:10" ht="12.75" customHeight="1" outlineLevel="1" x14ac:dyDescent="0.15">
      <c r="A4" s="80" t="s">
        <v>146</v>
      </c>
      <c r="B4" s="81"/>
      <c r="C4" s="70"/>
      <c r="D4" s="22"/>
      <c r="E4" s="22"/>
      <c r="F4" s="5"/>
      <c r="G4" s="1" t="s">
        <v>197</v>
      </c>
      <c r="H4" s="1" t="str">
        <f>G4</f>
        <v>H</v>
      </c>
      <c r="I4" s="2"/>
    </row>
    <row r="5" spans="1:10" outlineLevel="1" x14ac:dyDescent="0.15">
      <c r="A5" s="82" t="s">
        <v>0</v>
      </c>
      <c r="B5" s="79"/>
      <c r="C5" s="8" t="e">
        <f>IF(#REF!="","",#REF!)</f>
        <v>#REF!</v>
      </c>
      <c r="D5" s="8"/>
      <c r="E5" s="8"/>
      <c r="F5" s="5"/>
      <c r="G5" s="1" t="s">
        <v>198</v>
      </c>
      <c r="H5" s="1" t="e">
        <f t="shared" ref="H5:H11" si="0">IF(G5="","",G5*(H$4+1))</f>
        <v>#VALUE!</v>
      </c>
      <c r="I5" s="2"/>
      <c r="J5" s="1" t="e">
        <f>#REF!</f>
        <v>#REF!</v>
      </c>
    </row>
    <row r="6" spans="1:10" outlineLevel="1" x14ac:dyDescent="0.15">
      <c r="A6" s="82" t="s">
        <v>1</v>
      </c>
      <c r="B6" s="79"/>
      <c r="C6" s="9" t="e">
        <f>IF(#REF!="","",#REF!)</f>
        <v>#REF!</v>
      </c>
      <c r="D6" s="8"/>
      <c r="E6" s="9"/>
      <c r="F6" s="5"/>
      <c r="G6" s="1" t="s">
        <v>198</v>
      </c>
      <c r="H6" s="1" t="e">
        <f t="shared" si="0"/>
        <v>#VALUE!</v>
      </c>
      <c r="I6" s="2"/>
      <c r="J6" s="1" t="e">
        <f>#REF!</f>
        <v>#REF!</v>
      </c>
    </row>
    <row r="7" spans="1:10" outlineLevel="1" x14ac:dyDescent="0.15">
      <c r="A7" s="82" t="s">
        <v>2</v>
      </c>
      <c r="B7" s="79"/>
      <c r="C7" s="9" t="e">
        <f>IF(#REF!="","",#REF!)</f>
        <v>#REF!</v>
      </c>
      <c r="D7" s="8"/>
      <c r="E7" s="9"/>
      <c r="F7" s="5"/>
      <c r="G7" s="1" t="s">
        <v>198</v>
      </c>
      <c r="H7" s="1" t="e">
        <f t="shared" si="0"/>
        <v>#VALUE!</v>
      </c>
      <c r="I7" s="2"/>
      <c r="J7" s="1" t="e">
        <f>#REF!</f>
        <v>#REF!</v>
      </c>
    </row>
    <row r="8" spans="1:10" outlineLevel="1" x14ac:dyDescent="0.15">
      <c r="A8" s="82" t="s">
        <v>3</v>
      </c>
      <c r="B8" s="79"/>
      <c r="C8" s="9" t="e">
        <f>IF(#REF!="","",#REF!)</f>
        <v>#REF!</v>
      </c>
      <c r="D8" s="8"/>
      <c r="E8" s="9"/>
      <c r="F8" s="5"/>
      <c r="G8" s="1" t="s">
        <v>198</v>
      </c>
      <c r="H8" s="1" t="e">
        <f t="shared" si="0"/>
        <v>#VALUE!</v>
      </c>
      <c r="I8" s="2"/>
      <c r="J8" s="1" t="e">
        <f>#REF!</f>
        <v>#REF!</v>
      </c>
    </row>
    <row r="9" spans="1:10" outlineLevel="1" x14ac:dyDescent="0.15">
      <c r="A9" s="82" t="s">
        <v>4</v>
      </c>
      <c r="B9" s="79"/>
      <c r="C9" s="9" t="e">
        <f>IF(#REF!="","",#REF!)</f>
        <v>#REF!</v>
      </c>
      <c r="D9" s="8"/>
      <c r="E9" s="9"/>
      <c r="F9" s="5"/>
      <c r="G9" s="1" t="s">
        <v>198</v>
      </c>
      <c r="H9" s="1" t="e">
        <f t="shared" si="0"/>
        <v>#VALUE!</v>
      </c>
      <c r="I9" s="2"/>
      <c r="J9" s="1" t="e">
        <f>#REF!</f>
        <v>#REF!</v>
      </c>
    </row>
    <row r="10" spans="1:10" outlineLevel="1" x14ac:dyDescent="0.15">
      <c r="A10" s="82" t="s">
        <v>5</v>
      </c>
      <c r="B10" s="79"/>
      <c r="C10" s="10" t="e">
        <f>IF(#REF!="","",#REF!)</f>
        <v>#REF!</v>
      </c>
      <c r="D10" s="8"/>
      <c r="E10" s="10"/>
      <c r="F10" s="5"/>
      <c r="G10" s="1" t="s">
        <v>198</v>
      </c>
      <c r="H10" s="1" t="e">
        <f t="shared" si="0"/>
        <v>#VALUE!</v>
      </c>
      <c r="I10" s="2"/>
      <c r="J10" s="1" t="e">
        <f>#REF!</f>
        <v>#REF!</v>
      </c>
    </row>
    <row r="11" spans="1:10" outlineLevel="1" x14ac:dyDescent="0.15">
      <c r="A11" s="82" t="s">
        <v>6</v>
      </c>
      <c r="B11" s="79"/>
      <c r="C11" s="23" t="e">
        <f>IF(#REF!="","",#REF!)</f>
        <v>#REF!</v>
      </c>
      <c r="D11" s="9"/>
      <c r="E11" s="9"/>
      <c r="F11" s="5"/>
      <c r="G11" s="1" t="s">
        <v>198</v>
      </c>
      <c r="H11" s="1" t="e">
        <f t="shared" si="0"/>
        <v>#VALUE!</v>
      </c>
      <c r="I11" s="2"/>
      <c r="J11" s="1" t="e">
        <f>#REF!</f>
        <v>#REF!</v>
      </c>
    </row>
    <row r="12" spans="1:10" ht="12.75" customHeight="1" outlineLevel="2" x14ac:dyDescent="0.15">
      <c r="A12" s="78" t="s">
        <v>154</v>
      </c>
      <c r="B12" s="79"/>
      <c r="C12" s="24"/>
      <c r="D12" s="25"/>
      <c r="E12" s="25"/>
      <c r="F12" s="5"/>
      <c r="G12" s="1" t="s">
        <v>197</v>
      </c>
      <c r="H12" s="1" t="str">
        <f>G12</f>
        <v>H</v>
      </c>
      <c r="I12" s="2"/>
    </row>
    <row r="13" spans="1:10" outlineLevel="2" x14ac:dyDescent="0.15">
      <c r="A13" s="76" t="s">
        <v>7</v>
      </c>
      <c r="B13" s="77"/>
      <c r="C13" s="12" t="e">
        <f>IF(#REF!="","",#REF!)</f>
        <v>#REF!</v>
      </c>
      <c r="D13" s="8"/>
      <c r="E13" s="12"/>
      <c r="F13" s="5"/>
      <c r="G13" s="1" t="s">
        <v>198</v>
      </c>
      <c r="H13" s="1" t="e">
        <f t="shared" ref="H13:H35" si="1">IF(G13="","",G13*(H$12+1))</f>
        <v>#VALUE!</v>
      </c>
      <c r="I13" s="2"/>
      <c r="J13" s="1" t="e">
        <f>#REF!</f>
        <v>#REF!</v>
      </c>
    </row>
    <row r="14" spans="1:10" outlineLevel="2" x14ac:dyDescent="0.15">
      <c r="A14" s="76" t="s">
        <v>8</v>
      </c>
      <c r="B14" s="77"/>
      <c r="C14" s="13" t="e">
        <f>IF(#REF!="","",#REF!)</f>
        <v>#REF!</v>
      </c>
      <c r="D14" s="13"/>
      <c r="E14" s="13"/>
      <c r="F14" s="5"/>
      <c r="G14" s="1" t="s">
        <v>198</v>
      </c>
      <c r="H14" s="1" t="e">
        <f t="shared" si="1"/>
        <v>#VALUE!</v>
      </c>
      <c r="I14" s="2"/>
      <c r="J14" s="1" t="e">
        <f>#REF!</f>
        <v>#REF!</v>
      </c>
    </row>
    <row r="15" spans="1:10" outlineLevel="2" x14ac:dyDescent="0.15">
      <c r="A15" s="76" t="s">
        <v>9</v>
      </c>
      <c r="B15" s="77"/>
      <c r="C15" s="13" t="e">
        <f>IF(#REF!="","",#REF!)</f>
        <v>#REF!</v>
      </c>
      <c r="D15" s="13"/>
      <c r="E15" s="13"/>
      <c r="F15" s="5"/>
      <c r="G15" s="1" t="s">
        <v>198</v>
      </c>
      <c r="H15" s="1" t="e">
        <f t="shared" si="1"/>
        <v>#VALUE!</v>
      </c>
      <c r="I15" s="2"/>
      <c r="J15" s="1" t="e">
        <f>#REF!</f>
        <v>#REF!</v>
      </c>
    </row>
    <row r="16" spans="1:10" outlineLevel="2" x14ac:dyDescent="0.15">
      <c r="A16" s="76" t="s">
        <v>10</v>
      </c>
      <c r="B16" s="77"/>
      <c r="C16" s="13" t="e">
        <f>IF(#REF!="","",#REF!)</f>
        <v>#REF!</v>
      </c>
      <c r="D16" s="13"/>
      <c r="E16" s="13"/>
      <c r="F16" s="5"/>
      <c r="G16" s="1" t="s">
        <v>198</v>
      </c>
      <c r="H16" s="1" t="e">
        <f t="shared" si="1"/>
        <v>#VALUE!</v>
      </c>
      <c r="I16" s="2"/>
      <c r="J16" s="1" t="e">
        <f>#REF!</f>
        <v>#REF!</v>
      </c>
    </row>
    <row r="17" spans="1:10" outlineLevel="2" x14ac:dyDescent="0.15">
      <c r="A17" s="76" t="s">
        <v>11</v>
      </c>
      <c r="B17" s="77"/>
      <c r="C17" s="13" t="e">
        <f>IF(#REF!="","",#REF!)</f>
        <v>#REF!</v>
      </c>
      <c r="D17" s="13"/>
      <c r="E17" s="13"/>
      <c r="F17" s="5"/>
      <c r="G17" s="1" t="s">
        <v>198</v>
      </c>
      <c r="H17" s="1" t="e">
        <f t="shared" si="1"/>
        <v>#VALUE!</v>
      </c>
      <c r="I17" s="2"/>
      <c r="J17" s="1" t="e">
        <f>#REF!</f>
        <v>#REF!</v>
      </c>
    </row>
    <row r="18" spans="1:10" outlineLevel="2" x14ac:dyDescent="0.15">
      <c r="A18" s="76" t="s">
        <v>12</v>
      </c>
      <c r="B18" s="77"/>
      <c r="C18" s="13" t="e">
        <f>IF(#REF!="","",#REF!)</f>
        <v>#REF!</v>
      </c>
      <c r="D18" s="13"/>
      <c r="E18" s="13"/>
      <c r="F18" s="5"/>
      <c r="G18" s="1" t="s">
        <v>198</v>
      </c>
      <c r="H18" s="1" t="e">
        <f t="shared" si="1"/>
        <v>#VALUE!</v>
      </c>
      <c r="I18" s="2"/>
      <c r="J18" s="1" t="e">
        <f>#REF!</f>
        <v>#REF!</v>
      </c>
    </row>
    <row r="19" spans="1:10" outlineLevel="2" x14ac:dyDescent="0.15">
      <c r="A19" s="76" t="s">
        <v>13</v>
      </c>
      <c r="B19" s="77"/>
      <c r="C19" s="13" t="e">
        <f>IF(#REF!="","",#REF!)</f>
        <v>#REF!</v>
      </c>
      <c r="D19" s="13"/>
      <c r="E19" s="13"/>
      <c r="F19" s="5"/>
      <c r="G19" s="1" t="s">
        <v>198</v>
      </c>
      <c r="H19" s="1" t="e">
        <f t="shared" si="1"/>
        <v>#VALUE!</v>
      </c>
      <c r="I19" s="2"/>
    </row>
    <row r="20" spans="1:10" outlineLevel="2" x14ac:dyDescent="0.15">
      <c r="A20" s="76" t="s">
        <v>14</v>
      </c>
      <c r="B20" s="77"/>
      <c r="C20" s="13" t="e">
        <f>IF(#REF!="","",#REF!)</f>
        <v>#REF!</v>
      </c>
      <c r="D20" s="13"/>
      <c r="E20" s="13"/>
      <c r="F20" s="5"/>
      <c r="G20" s="1" t="s">
        <v>198</v>
      </c>
      <c r="H20" s="1" t="e">
        <f t="shared" si="1"/>
        <v>#VALUE!</v>
      </c>
      <c r="I20" s="2"/>
    </row>
    <row r="21" spans="1:10" outlineLevel="2" x14ac:dyDescent="0.15">
      <c r="A21" s="76" t="s">
        <v>15</v>
      </c>
      <c r="B21" s="77"/>
      <c r="C21" s="13" t="e">
        <f>IF(#REF!="","",#REF!)</f>
        <v>#REF!</v>
      </c>
      <c r="D21" s="13"/>
      <c r="E21" s="13"/>
      <c r="F21" s="5"/>
      <c r="G21" s="1" t="s">
        <v>198</v>
      </c>
      <c r="H21" s="1" t="e">
        <f t="shared" si="1"/>
        <v>#VALUE!</v>
      </c>
      <c r="I21" s="2"/>
      <c r="J21" s="1" t="e">
        <f>#REF!</f>
        <v>#REF!</v>
      </c>
    </row>
    <row r="22" spans="1:10" outlineLevel="2" x14ac:dyDescent="0.15">
      <c r="A22" s="76" t="s">
        <v>16</v>
      </c>
      <c r="B22" s="77"/>
      <c r="C22" s="13" t="e">
        <f>IF(#REF!="","",#REF!)</f>
        <v>#REF!</v>
      </c>
      <c r="D22" s="13"/>
      <c r="E22" s="13"/>
      <c r="F22" s="5"/>
      <c r="G22" s="1" t="s">
        <v>198</v>
      </c>
      <c r="H22" s="1" t="e">
        <f t="shared" si="1"/>
        <v>#VALUE!</v>
      </c>
      <c r="I22" s="2"/>
      <c r="J22" s="1" t="e">
        <f>#REF!</f>
        <v>#REF!</v>
      </c>
    </row>
    <row r="23" spans="1:10" outlineLevel="2" x14ac:dyDescent="0.15">
      <c r="A23" s="76" t="s">
        <v>17</v>
      </c>
      <c r="B23" s="77"/>
      <c r="C23" s="13" t="e">
        <f>IF(#REF!="","",#REF!)</f>
        <v>#REF!</v>
      </c>
      <c r="D23" s="13"/>
      <c r="E23" s="13"/>
      <c r="F23" s="5"/>
      <c r="G23" s="1" t="s">
        <v>198</v>
      </c>
      <c r="H23" s="1" t="e">
        <f t="shared" si="1"/>
        <v>#VALUE!</v>
      </c>
      <c r="I23" s="2"/>
    </row>
    <row r="24" spans="1:10" outlineLevel="2" x14ac:dyDescent="0.15">
      <c r="A24" s="76" t="s">
        <v>18</v>
      </c>
      <c r="B24" s="77"/>
      <c r="C24" s="13" t="e">
        <f>IF(#REF!="","",#REF!)</f>
        <v>#REF!</v>
      </c>
      <c r="D24" s="13"/>
      <c r="E24" s="13"/>
      <c r="F24" s="5"/>
      <c r="G24" s="1" t="s">
        <v>198</v>
      </c>
      <c r="H24" s="1" t="e">
        <f t="shared" si="1"/>
        <v>#VALUE!</v>
      </c>
      <c r="I24" s="2"/>
      <c r="J24" s="1" t="e">
        <f>#REF!</f>
        <v>#REF!</v>
      </c>
    </row>
    <row r="25" spans="1:10" outlineLevel="2" x14ac:dyDescent="0.15">
      <c r="A25" s="76" t="s">
        <v>19</v>
      </c>
      <c r="B25" s="77"/>
      <c r="C25" s="13" t="e">
        <f>IF(#REF!="","",#REF!)</f>
        <v>#REF!</v>
      </c>
      <c r="D25" s="13"/>
      <c r="E25" s="13"/>
      <c r="F25" s="5"/>
      <c r="G25" s="1" t="s">
        <v>198</v>
      </c>
      <c r="H25" s="1" t="e">
        <f t="shared" si="1"/>
        <v>#VALUE!</v>
      </c>
      <c r="I25" s="2"/>
      <c r="J25" s="1" t="e">
        <f>#REF!</f>
        <v>#REF!</v>
      </c>
    </row>
    <row r="26" spans="1:10" outlineLevel="2" x14ac:dyDescent="0.15">
      <c r="A26" s="76" t="s">
        <v>20</v>
      </c>
      <c r="B26" s="77"/>
      <c r="C26" s="13" t="e">
        <f>IF(#REF!="","",#REF!)</f>
        <v>#REF!</v>
      </c>
      <c r="D26" s="13"/>
      <c r="E26" s="13"/>
      <c r="F26" s="5"/>
      <c r="G26" s="1" t="s">
        <v>198</v>
      </c>
      <c r="H26" s="1" t="e">
        <f t="shared" si="1"/>
        <v>#VALUE!</v>
      </c>
      <c r="I26" s="2"/>
      <c r="J26" s="1" t="e">
        <f>#REF!</f>
        <v>#REF!</v>
      </c>
    </row>
    <row r="27" spans="1:10" outlineLevel="2" x14ac:dyDescent="0.15">
      <c r="A27" s="76" t="s">
        <v>21</v>
      </c>
      <c r="B27" s="77"/>
      <c r="C27" s="13" t="e">
        <f>IF(#REF!="","",#REF!)</f>
        <v>#REF!</v>
      </c>
      <c r="D27" s="13"/>
      <c r="E27" s="13"/>
      <c r="F27" s="5"/>
      <c r="G27" s="1" t="s">
        <v>198</v>
      </c>
      <c r="H27" s="1" t="e">
        <f t="shared" si="1"/>
        <v>#VALUE!</v>
      </c>
      <c r="I27" s="2"/>
      <c r="J27" s="1" t="e">
        <f>#REF!</f>
        <v>#REF!</v>
      </c>
    </row>
    <row r="28" spans="1:10" outlineLevel="2" x14ac:dyDescent="0.15">
      <c r="A28" s="76" t="s">
        <v>22</v>
      </c>
      <c r="B28" s="77"/>
      <c r="C28" s="13" t="e">
        <f>IF(#REF!="","",#REF!)</f>
        <v>#REF!</v>
      </c>
      <c r="D28" s="13"/>
      <c r="E28" s="13"/>
      <c r="F28" s="5"/>
      <c r="G28" s="1" t="s">
        <v>198</v>
      </c>
      <c r="H28" s="1" t="e">
        <f t="shared" si="1"/>
        <v>#VALUE!</v>
      </c>
      <c r="I28" s="2"/>
      <c r="J28" s="1" t="e">
        <f>#REF!</f>
        <v>#REF!</v>
      </c>
    </row>
    <row r="29" spans="1:10" outlineLevel="2" x14ac:dyDescent="0.15">
      <c r="A29" s="76" t="s">
        <v>23</v>
      </c>
      <c r="B29" s="77"/>
      <c r="C29" s="13" t="e">
        <f>IF(#REF!="","",#REF!)</f>
        <v>#REF!</v>
      </c>
      <c r="D29" s="13"/>
      <c r="E29" s="13"/>
      <c r="F29" s="5"/>
      <c r="G29" s="1" t="s">
        <v>198</v>
      </c>
      <c r="H29" s="1" t="e">
        <f t="shared" si="1"/>
        <v>#VALUE!</v>
      </c>
      <c r="I29" s="2"/>
      <c r="J29" s="1" t="e">
        <f>#REF!</f>
        <v>#REF!</v>
      </c>
    </row>
    <row r="30" spans="1:10" outlineLevel="2" x14ac:dyDescent="0.15">
      <c r="A30" s="76" t="s">
        <v>24</v>
      </c>
      <c r="B30" s="77"/>
      <c r="C30" s="13" t="e">
        <f>IF(#REF!="","",#REF!)</f>
        <v>#REF!</v>
      </c>
      <c r="D30" s="13"/>
      <c r="E30" s="13"/>
      <c r="F30" s="5"/>
      <c r="G30" s="1" t="s">
        <v>198</v>
      </c>
      <c r="H30" s="1" t="e">
        <f t="shared" si="1"/>
        <v>#VALUE!</v>
      </c>
      <c r="I30" s="2"/>
      <c r="J30" s="1" t="e">
        <f>#REF!</f>
        <v>#REF!</v>
      </c>
    </row>
    <row r="31" spans="1:10" outlineLevel="2" x14ac:dyDescent="0.15">
      <c r="A31" s="76" t="s">
        <v>25</v>
      </c>
      <c r="B31" s="77"/>
      <c r="C31" s="13" t="e">
        <f>IF(#REF!="","",#REF!)</f>
        <v>#REF!</v>
      </c>
      <c r="D31" s="13"/>
      <c r="E31" s="13"/>
      <c r="F31" s="5"/>
      <c r="G31" s="1" t="s">
        <v>198</v>
      </c>
      <c r="H31" s="1" t="e">
        <f t="shared" si="1"/>
        <v>#VALUE!</v>
      </c>
      <c r="I31" s="2"/>
      <c r="J31" s="1" t="e">
        <f>#REF!</f>
        <v>#REF!</v>
      </c>
    </row>
    <row r="32" spans="1:10" outlineLevel="2" x14ac:dyDescent="0.15">
      <c r="A32" s="76" t="s">
        <v>26</v>
      </c>
      <c r="B32" s="77"/>
      <c r="C32" s="13" t="e">
        <f>IF(#REF!="","",#REF!)</f>
        <v>#REF!</v>
      </c>
      <c r="D32" s="13"/>
      <c r="E32" s="13"/>
      <c r="F32" s="5"/>
      <c r="G32" s="1" t="s">
        <v>198</v>
      </c>
      <c r="H32" s="1" t="e">
        <f t="shared" si="1"/>
        <v>#VALUE!</v>
      </c>
      <c r="I32" s="2"/>
      <c r="J32" s="1" t="e">
        <f>#REF!</f>
        <v>#REF!</v>
      </c>
    </row>
    <row r="33" spans="1:10" outlineLevel="2" x14ac:dyDescent="0.15">
      <c r="A33" s="76" t="s">
        <v>27</v>
      </c>
      <c r="B33" s="77"/>
      <c r="C33" s="13" t="e">
        <f>IF(#REF!="","",#REF!)</f>
        <v>#REF!</v>
      </c>
      <c r="D33" s="13"/>
      <c r="E33" s="13"/>
      <c r="F33" s="5"/>
      <c r="G33" s="1" t="s">
        <v>198</v>
      </c>
      <c r="H33" s="1" t="e">
        <f t="shared" si="1"/>
        <v>#VALUE!</v>
      </c>
      <c r="I33" s="2"/>
      <c r="J33" s="1" t="e">
        <f>#REF!</f>
        <v>#REF!</v>
      </c>
    </row>
    <row r="34" spans="1:10" outlineLevel="2" x14ac:dyDescent="0.15">
      <c r="A34" s="76" t="s">
        <v>28</v>
      </c>
      <c r="B34" s="77"/>
      <c r="C34" s="13" t="e">
        <f>IF(#REF!="","",#REF!)</f>
        <v>#REF!</v>
      </c>
      <c r="D34" s="13"/>
      <c r="E34" s="13"/>
      <c r="F34" s="5"/>
      <c r="G34" s="1" t="s">
        <v>198</v>
      </c>
      <c r="H34" s="1" t="e">
        <f t="shared" si="1"/>
        <v>#VALUE!</v>
      </c>
      <c r="I34" s="2"/>
      <c r="J34" s="1" t="e">
        <f>#REF!</f>
        <v>#REF!</v>
      </c>
    </row>
    <row r="35" spans="1:10" outlineLevel="2" x14ac:dyDescent="0.15">
      <c r="A35" s="76" t="s">
        <v>29</v>
      </c>
      <c r="B35" s="77"/>
      <c r="C35" s="26" t="e">
        <f>IF(#REF!="","",#REF!)</f>
        <v>#REF!</v>
      </c>
      <c r="D35" s="13"/>
      <c r="E35" s="13"/>
      <c r="F35" s="5"/>
      <c r="G35" s="1" t="s">
        <v>198</v>
      </c>
      <c r="H35" s="1" t="e">
        <f t="shared" si="1"/>
        <v>#VALUE!</v>
      </c>
      <c r="I35" s="2"/>
      <c r="J35" s="1" t="e">
        <f>#REF!</f>
        <v>#REF!</v>
      </c>
    </row>
    <row r="36" spans="1:10" outlineLevel="3" x14ac:dyDescent="0.15">
      <c r="A36" s="83" t="s">
        <v>182</v>
      </c>
      <c r="B36" s="77"/>
      <c r="C36" s="27"/>
      <c r="D36" s="28"/>
      <c r="E36" s="28"/>
      <c r="F36" s="5"/>
      <c r="G36" s="1" t="s">
        <v>199</v>
      </c>
      <c r="H36" s="1" t="str">
        <f>G36</f>
        <v>OH</v>
      </c>
      <c r="I36" s="2"/>
      <c r="J36" s="1" t="e">
        <f>#REF!</f>
        <v>#REF!</v>
      </c>
    </row>
    <row r="37" spans="1:10" outlineLevel="2" x14ac:dyDescent="0.15">
      <c r="A37" s="84" t="s">
        <v>155</v>
      </c>
      <c r="B37" s="85"/>
      <c r="C37" s="29" t="e">
        <f>IF(#REF!="","",#REF!)</f>
        <v>#REF!</v>
      </c>
      <c r="D37" s="30"/>
      <c r="E37" s="30"/>
      <c r="F37" s="5"/>
      <c r="G37" s="1" t="s">
        <v>200</v>
      </c>
      <c r="H37" s="1" t="e">
        <f>IF(G37="","",G37*(H$36+1))</f>
        <v>#VALUE!</v>
      </c>
      <c r="I37" s="2"/>
      <c r="J37" s="1" t="e">
        <f>#REF!</f>
        <v>#REF!</v>
      </c>
    </row>
    <row r="38" spans="1:10" outlineLevel="1" x14ac:dyDescent="0.15">
      <c r="A38" s="86" t="s">
        <v>156</v>
      </c>
      <c r="B38" s="79"/>
      <c r="C38" s="31" t="e">
        <f>IF(#REF!="","",#REF!)</f>
        <v>#REF!</v>
      </c>
      <c r="D38" s="32"/>
      <c r="E38" s="32"/>
      <c r="F38" s="5"/>
      <c r="G38" s="1" t="s">
        <v>201</v>
      </c>
      <c r="H38" s="1" t="e">
        <f>IF(G38="","",G38*(H$12+1))</f>
        <v>#VALUE!</v>
      </c>
      <c r="I38" s="2"/>
      <c r="J38" s="1" t="e">
        <f>#REF!</f>
        <v>#REF!</v>
      </c>
    </row>
    <row r="39" spans="1:10" outlineLevel="2" x14ac:dyDescent="0.15">
      <c r="A39" s="78" t="s">
        <v>126</v>
      </c>
      <c r="B39" s="79"/>
      <c r="C39" s="33"/>
      <c r="D39" s="25"/>
      <c r="E39" s="25"/>
      <c r="F39" s="5"/>
      <c r="G39" s="1" t="s">
        <v>197</v>
      </c>
      <c r="H39" s="1" t="str">
        <f>G39</f>
        <v>H</v>
      </c>
      <c r="I39" s="2" t="s">
        <v>145</v>
      </c>
      <c r="J39" s="1" t="e">
        <f>#REF!</f>
        <v>#REF!</v>
      </c>
    </row>
    <row r="40" spans="1:10" outlineLevel="2" x14ac:dyDescent="0.15">
      <c r="A40" s="76" t="s">
        <v>127</v>
      </c>
      <c r="B40" s="77"/>
      <c r="C40" s="11" t="e">
        <f>IF(#REF!="","",#REF!)</f>
        <v>#REF!</v>
      </c>
      <c r="D40" s="11"/>
      <c r="E40" s="11"/>
      <c r="F40" s="5"/>
      <c r="G40" s="1" t="s">
        <v>198</v>
      </c>
      <c r="H40" s="1" t="e">
        <f>IF(G40="","",G40*(H$39+1))</f>
        <v>#VALUE!</v>
      </c>
      <c r="I40" s="2" t="s">
        <v>145</v>
      </c>
      <c r="J40" s="1" t="e">
        <f>#REF!</f>
        <v>#REF!</v>
      </c>
    </row>
    <row r="41" spans="1:10" outlineLevel="2" x14ac:dyDescent="0.15">
      <c r="A41" s="76" t="s">
        <v>128</v>
      </c>
      <c r="B41" s="77"/>
      <c r="C41" s="34" t="e">
        <f>IF(#REF!="","",#REF!)</f>
        <v>#REF!</v>
      </c>
      <c r="D41" s="15"/>
      <c r="E41" s="15"/>
      <c r="F41" s="5"/>
      <c r="G41" s="1" t="s">
        <v>198</v>
      </c>
      <c r="H41" s="1" t="e">
        <f>IF(G41="","",G41*(H$39+1))</f>
        <v>#VALUE!</v>
      </c>
      <c r="I41" s="2" t="s">
        <v>145</v>
      </c>
      <c r="J41" s="1" t="e">
        <f>#REF!</f>
        <v>#REF!</v>
      </c>
    </row>
    <row r="42" spans="1:10" outlineLevel="3" x14ac:dyDescent="0.15">
      <c r="A42" s="87" t="s">
        <v>129</v>
      </c>
      <c r="B42" s="77"/>
      <c r="C42" s="35"/>
      <c r="D42" s="25"/>
      <c r="E42" s="25"/>
      <c r="F42" s="5"/>
      <c r="G42" s="1" t="s">
        <v>197</v>
      </c>
      <c r="H42" s="1" t="str">
        <f>G42</f>
        <v>H</v>
      </c>
      <c r="I42" s="2" t="s">
        <v>145</v>
      </c>
      <c r="J42" s="1" t="e">
        <f>#REF!</f>
        <v>#REF!</v>
      </c>
    </row>
    <row r="43" spans="1:10" ht="11.25" customHeight="1" outlineLevel="3" x14ac:dyDescent="0.15">
      <c r="A43" s="88" t="s">
        <v>130</v>
      </c>
      <c r="B43" s="89"/>
      <c r="C43" s="11" t="e">
        <f>IF(#REF!="","",#REF!)</f>
        <v>#REF!</v>
      </c>
      <c r="D43" s="11"/>
      <c r="E43" s="11"/>
      <c r="F43" s="5"/>
      <c r="G43" s="1" t="s">
        <v>198</v>
      </c>
      <c r="H43" s="1" t="e">
        <f>IF(G43="","",G43*(H$42+1))</f>
        <v>#VALUE!</v>
      </c>
      <c r="I43" s="2" t="s">
        <v>145</v>
      </c>
      <c r="J43" s="1" t="e">
        <f>#REF!</f>
        <v>#REF!</v>
      </c>
    </row>
    <row r="44" spans="1:10" ht="11.25" customHeight="1" outlineLevel="3" x14ac:dyDescent="0.15">
      <c r="A44" s="88" t="s">
        <v>131</v>
      </c>
      <c r="B44" s="89"/>
      <c r="C44" s="34" t="e">
        <f>IF(#REF!="","",#REF!)</f>
        <v>#REF!</v>
      </c>
      <c r="D44" s="15"/>
      <c r="E44" s="15"/>
      <c r="F44" s="5"/>
      <c r="G44" s="1" t="s">
        <v>198</v>
      </c>
      <c r="H44" s="1" t="e">
        <f>IF(G44="","",G44*(H$42+1))</f>
        <v>#VALUE!</v>
      </c>
      <c r="I44" s="2" t="s">
        <v>145</v>
      </c>
      <c r="J44" s="1" t="e">
        <f>#REF!</f>
        <v>#REF!</v>
      </c>
    </row>
    <row r="45" spans="1:10" ht="11.25" customHeight="1" outlineLevel="2" x14ac:dyDescent="0.15">
      <c r="A45" s="84" t="s">
        <v>132</v>
      </c>
      <c r="B45" s="77"/>
      <c r="C45" s="36" t="e">
        <f>IF(#REF!="","",#REF!)</f>
        <v>#REF!</v>
      </c>
      <c r="D45" s="37"/>
      <c r="E45" s="37"/>
      <c r="F45" s="5"/>
      <c r="G45" s="1" t="s">
        <v>201</v>
      </c>
      <c r="H45" s="1" t="e">
        <f>IF(G45="","",G45*(H$42+1))</f>
        <v>#VALUE!</v>
      </c>
      <c r="I45" s="2" t="s">
        <v>145</v>
      </c>
      <c r="J45" s="1" t="e">
        <f>#REF!</f>
        <v>#REF!</v>
      </c>
    </row>
    <row r="46" spans="1:10" ht="11.25" customHeight="1" outlineLevel="3" x14ac:dyDescent="0.15">
      <c r="A46" s="83" t="s">
        <v>133</v>
      </c>
      <c r="B46" s="77"/>
      <c r="C46" s="35"/>
      <c r="D46" s="25"/>
      <c r="E46" s="25"/>
      <c r="F46" s="5"/>
      <c r="G46" s="1" t="s">
        <v>197</v>
      </c>
      <c r="H46" s="1" t="str">
        <f>G46</f>
        <v>H</v>
      </c>
      <c r="I46" s="2" t="s">
        <v>145</v>
      </c>
      <c r="J46" s="1" t="e">
        <f>#REF!</f>
        <v>#REF!</v>
      </c>
    </row>
    <row r="47" spans="1:10" outlineLevel="3" x14ac:dyDescent="0.15">
      <c r="A47" s="88" t="s">
        <v>134</v>
      </c>
      <c r="B47" s="89"/>
      <c r="C47" s="11" t="e">
        <f>IF(#REF!="","",#REF!)</f>
        <v>#REF!</v>
      </c>
      <c r="D47" s="11"/>
      <c r="E47" s="11"/>
      <c r="F47" s="5"/>
      <c r="G47" s="1" t="s">
        <v>198</v>
      </c>
      <c r="H47" s="1" t="e">
        <f t="shared" ref="H47:H53" si="2">IF(G47="","",G47*(H$46+1))</f>
        <v>#VALUE!</v>
      </c>
      <c r="I47" s="2" t="s">
        <v>145</v>
      </c>
      <c r="J47" s="1" t="e">
        <f>#REF!</f>
        <v>#REF!</v>
      </c>
    </row>
    <row r="48" spans="1:10" outlineLevel="3" x14ac:dyDescent="0.15">
      <c r="A48" s="88" t="s">
        <v>135</v>
      </c>
      <c r="B48" s="89"/>
      <c r="C48" s="15" t="e">
        <f>IF(#REF!="","",#REF!)</f>
        <v>#REF!</v>
      </c>
      <c r="D48" s="15"/>
      <c r="E48" s="15"/>
      <c r="F48" s="5"/>
      <c r="G48" s="1" t="s">
        <v>198</v>
      </c>
      <c r="H48" s="1" t="e">
        <f t="shared" si="2"/>
        <v>#VALUE!</v>
      </c>
      <c r="I48" s="2" t="s">
        <v>145</v>
      </c>
      <c r="J48" s="2" t="e">
        <f>#REF!</f>
        <v>#REF!</v>
      </c>
    </row>
    <row r="49" spans="1:10" s="3" customFormat="1" outlineLevel="3" x14ac:dyDescent="0.15">
      <c r="A49" s="88" t="s">
        <v>136</v>
      </c>
      <c r="B49" s="89"/>
      <c r="C49" s="15" t="e">
        <f>IF(#REF!="","",#REF!)</f>
        <v>#REF!</v>
      </c>
      <c r="D49" s="15"/>
      <c r="E49" s="15"/>
      <c r="F49" s="5"/>
      <c r="G49" s="1" t="s">
        <v>198</v>
      </c>
      <c r="H49" s="3" t="e">
        <f t="shared" si="2"/>
        <v>#VALUE!</v>
      </c>
      <c r="I49" s="2" t="s">
        <v>145</v>
      </c>
      <c r="J49" s="2" t="e">
        <f>#REF!</f>
        <v>#REF!</v>
      </c>
    </row>
    <row r="50" spans="1:10" s="3" customFormat="1" outlineLevel="3" x14ac:dyDescent="0.15">
      <c r="A50" s="88" t="s">
        <v>137</v>
      </c>
      <c r="B50" s="89"/>
      <c r="C50" s="15" t="e">
        <f>IF(#REF!="","",#REF!)</f>
        <v>#REF!</v>
      </c>
      <c r="D50" s="15"/>
      <c r="E50" s="15"/>
      <c r="F50" s="5"/>
      <c r="G50" s="1" t="s">
        <v>198</v>
      </c>
      <c r="H50" s="3" t="e">
        <f t="shared" si="2"/>
        <v>#VALUE!</v>
      </c>
      <c r="I50" s="2" t="s">
        <v>145</v>
      </c>
      <c r="J50" s="2" t="e">
        <f>#REF!</f>
        <v>#REF!</v>
      </c>
    </row>
    <row r="51" spans="1:10" s="3" customFormat="1" outlineLevel="3" x14ac:dyDescent="0.15">
      <c r="A51" s="88" t="s">
        <v>138</v>
      </c>
      <c r="B51" s="89"/>
      <c r="C51" s="15" t="e">
        <f>IF(#REF!="","",#REF!)</f>
        <v>#REF!</v>
      </c>
      <c r="D51" s="15"/>
      <c r="E51" s="15"/>
      <c r="F51" s="5"/>
      <c r="G51" s="1" t="s">
        <v>198</v>
      </c>
      <c r="H51" s="3" t="e">
        <f t="shared" si="2"/>
        <v>#VALUE!</v>
      </c>
      <c r="I51" s="2" t="s">
        <v>145</v>
      </c>
      <c r="J51" s="2" t="e">
        <f>#REF!</f>
        <v>#REF!</v>
      </c>
    </row>
    <row r="52" spans="1:10" s="3" customFormat="1" outlineLevel="3" x14ac:dyDescent="0.15">
      <c r="A52" s="88" t="s">
        <v>139</v>
      </c>
      <c r="B52" s="89"/>
      <c r="C52" s="15" t="e">
        <f>IF(#REF!="","",#REF!)</f>
        <v>#REF!</v>
      </c>
      <c r="D52" s="15"/>
      <c r="E52" s="15"/>
      <c r="F52" s="5"/>
      <c r="G52" s="1" t="s">
        <v>198</v>
      </c>
      <c r="H52" s="3" t="e">
        <f t="shared" si="2"/>
        <v>#VALUE!</v>
      </c>
      <c r="I52" s="2" t="s">
        <v>145</v>
      </c>
      <c r="J52" s="2" t="e">
        <f>#REF!</f>
        <v>#REF!</v>
      </c>
    </row>
    <row r="53" spans="1:10" s="3" customFormat="1" outlineLevel="3" x14ac:dyDescent="0.15">
      <c r="A53" s="88" t="s">
        <v>115</v>
      </c>
      <c r="B53" s="89"/>
      <c r="C53" s="34" t="e">
        <f>IF(#REF!="","",#REF!)</f>
        <v>#REF!</v>
      </c>
      <c r="D53" s="15"/>
      <c r="E53" s="15"/>
      <c r="F53" s="5"/>
      <c r="G53" s="1" t="s">
        <v>198</v>
      </c>
      <c r="H53" s="3" t="e">
        <f t="shared" si="2"/>
        <v>#VALUE!</v>
      </c>
      <c r="I53" s="2" t="s">
        <v>145</v>
      </c>
      <c r="J53" s="1" t="e">
        <f>#REF!</f>
        <v>#REF!</v>
      </c>
    </row>
    <row r="54" spans="1:10" outlineLevel="4" x14ac:dyDescent="0.15">
      <c r="A54" s="90" t="s">
        <v>183</v>
      </c>
      <c r="B54" s="89"/>
      <c r="C54" s="24"/>
      <c r="D54" s="38"/>
      <c r="E54" s="38"/>
      <c r="F54" s="5"/>
      <c r="G54" s="1" t="s">
        <v>199</v>
      </c>
      <c r="H54" s="1" t="str">
        <f>G54</f>
        <v>OH</v>
      </c>
      <c r="I54" s="2" t="s">
        <v>145</v>
      </c>
      <c r="J54" s="1" t="e">
        <f>#REF!</f>
        <v>#REF!</v>
      </c>
    </row>
    <row r="55" spans="1:10" outlineLevel="3" x14ac:dyDescent="0.15">
      <c r="A55" s="91" t="s">
        <v>157</v>
      </c>
      <c r="B55" s="92"/>
      <c r="C55" s="39" t="e">
        <f>IF(#REF!="","",#REF!)</f>
        <v>#REF!</v>
      </c>
      <c r="D55" s="21"/>
      <c r="E55" s="21"/>
      <c r="F55" s="5"/>
      <c r="G55" s="1" t="s">
        <v>202</v>
      </c>
      <c r="H55" s="1" t="e">
        <f>IF(G55="","",G55*(H$54+1))</f>
        <v>#VALUE!</v>
      </c>
      <c r="I55" s="2" t="s">
        <v>145</v>
      </c>
      <c r="J55" s="1" t="e">
        <f>#REF!</f>
        <v>#REF!</v>
      </c>
    </row>
    <row r="56" spans="1:10" outlineLevel="2" x14ac:dyDescent="0.15">
      <c r="A56" s="93" t="s">
        <v>140</v>
      </c>
      <c r="B56" s="94"/>
      <c r="C56" s="40" t="e">
        <f>IF(#REF!="","",#REF!)</f>
        <v>#REF!</v>
      </c>
      <c r="D56" s="41"/>
      <c r="E56" s="41"/>
      <c r="F56" s="5"/>
      <c r="G56" s="1" t="s">
        <v>201</v>
      </c>
      <c r="H56" s="1" t="e">
        <f>IF(G56="","",G56*(H$46+1))</f>
        <v>#VALUE!</v>
      </c>
      <c r="I56" s="2" t="s">
        <v>145</v>
      </c>
      <c r="J56" s="1" t="e">
        <f>#REF!</f>
        <v>#REF!</v>
      </c>
    </row>
    <row r="57" spans="1:10" outlineLevel="1" x14ac:dyDescent="0.15">
      <c r="A57" s="86" t="s">
        <v>141</v>
      </c>
      <c r="B57" s="79"/>
      <c r="C57" s="39" t="e">
        <f>IF(#REF!="","",#REF!)</f>
        <v>#REF!</v>
      </c>
      <c r="D57" s="21"/>
      <c r="E57" s="21"/>
      <c r="F57" s="5"/>
      <c r="G57" s="1" t="s">
        <v>201</v>
      </c>
      <c r="H57" s="1" t="e">
        <f>IF(G57="","",G57*(H$39+1))</f>
        <v>#VALUE!</v>
      </c>
      <c r="I57" s="2" t="s">
        <v>145</v>
      </c>
      <c r="J57" s="1" t="e">
        <f>#REF!</f>
        <v>#REF!</v>
      </c>
    </row>
    <row r="58" spans="1:10" outlineLevel="1" x14ac:dyDescent="0.15">
      <c r="A58" s="86" t="s">
        <v>30</v>
      </c>
      <c r="B58" s="95"/>
      <c r="C58" s="42" t="e">
        <f>IF(#REF!="","",#REF!)</f>
        <v>#REF!</v>
      </c>
      <c r="D58" s="43"/>
      <c r="E58" s="43"/>
      <c r="F58" s="5"/>
      <c r="G58" s="1" t="s">
        <v>203</v>
      </c>
      <c r="H58" s="1" t="e">
        <f>SUM($C$5:$C$11)+H$38+$C$57</f>
        <v>#REF!</v>
      </c>
      <c r="I58" s="2"/>
      <c r="J58" s="1" t="e">
        <f>#REF!</f>
        <v>#REF!</v>
      </c>
    </row>
    <row r="59" spans="1:10" outlineLevel="2" x14ac:dyDescent="0.15">
      <c r="A59" s="96" t="s">
        <v>169</v>
      </c>
      <c r="B59" s="97"/>
      <c r="C59" s="19"/>
      <c r="D59" s="25"/>
      <c r="E59" s="25"/>
      <c r="F59" s="5"/>
      <c r="G59" s="1" t="s">
        <v>197</v>
      </c>
      <c r="H59" s="1" t="str">
        <f>G59</f>
        <v>H</v>
      </c>
      <c r="I59" s="2"/>
      <c r="J59" s="1" t="e">
        <f>#REF!</f>
        <v>#REF!</v>
      </c>
    </row>
    <row r="60" spans="1:10" outlineLevel="3" x14ac:dyDescent="0.15">
      <c r="A60" s="83" t="s">
        <v>172</v>
      </c>
      <c r="B60" s="77"/>
      <c r="C60" s="44"/>
      <c r="D60" s="25"/>
      <c r="E60" s="25"/>
      <c r="F60" s="6"/>
      <c r="G60" s="2" t="s">
        <v>197</v>
      </c>
      <c r="H60" s="1" t="str">
        <f>G60</f>
        <v>H</v>
      </c>
      <c r="I60" s="3"/>
      <c r="J60" s="1" t="e">
        <f>#REF!</f>
        <v>#REF!</v>
      </c>
    </row>
    <row r="61" spans="1:10" outlineLevel="3" x14ac:dyDescent="0.15">
      <c r="A61" s="88" t="s">
        <v>173</v>
      </c>
      <c r="B61" s="89"/>
      <c r="C61" s="16" t="e">
        <f>IF(#REF!="","",#REF!)</f>
        <v>#REF!</v>
      </c>
      <c r="D61" s="16"/>
      <c r="E61" s="16"/>
      <c r="F61" s="6"/>
      <c r="G61" s="2" t="s">
        <v>198</v>
      </c>
      <c r="H61" s="1" t="e">
        <f>IF(G61="","",G61*(H$60+1))</f>
        <v>#VALUE!</v>
      </c>
      <c r="I61" s="3"/>
      <c r="J61" s="1" t="e">
        <f>#REF!</f>
        <v>#REF!</v>
      </c>
    </row>
    <row r="62" spans="1:10" outlineLevel="3" x14ac:dyDescent="0.15">
      <c r="A62" s="88" t="s">
        <v>174</v>
      </c>
      <c r="B62" s="89"/>
      <c r="C62" s="45" t="e">
        <f>IF(#REF!="","",#REF!)</f>
        <v>#REF!</v>
      </c>
      <c r="D62" s="46"/>
      <c r="E62" s="46"/>
      <c r="F62" s="6"/>
      <c r="G62" s="2" t="s">
        <v>198</v>
      </c>
      <c r="H62" s="1" t="e">
        <f>IF(G62="","",G62*(H$60+1))</f>
        <v>#VALUE!</v>
      </c>
      <c r="I62" s="3"/>
      <c r="J62" s="1" t="e">
        <f>#REF!</f>
        <v>#REF!</v>
      </c>
    </row>
    <row r="63" spans="1:10" outlineLevel="2" x14ac:dyDescent="0.15">
      <c r="A63" s="84" t="s">
        <v>175</v>
      </c>
      <c r="B63" s="85"/>
      <c r="C63" s="31" t="e">
        <f>IF(#REF!="","",#REF!)</f>
        <v>#REF!</v>
      </c>
      <c r="D63" s="32"/>
      <c r="E63" s="32"/>
      <c r="F63" s="6"/>
      <c r="G63" s="2" t="s">
        <v>201</v>
      </c>
      <c r="H63" s="1" t="e">
        <f>IF(G63="","",G63*(H$60+1))</f>
        <v>#VALUE!</v>
      </c>
      <c r="I63" s="3"/>
      <c r="J63" s="1" t="e">
        <f>#REF!</f>
        <v>#REF!</v>
      </c>
    </row>
    <row r="64" spans="1:10" outlineLevel="2" x14ac:dyDescent="0.15">
      <c r="A64" s="76" t="s">
        <v>170</v>
      </c>
      <c r="B64" s="77"/>
      <c r="C64" s="47" t="e">
        <f>IF(#REF!="","",#REF!)</f>
        <v>#REF!</v>
      </c>
      <c r="D64" s="48"/>
      <c r="E64" s="48"/>
      <c r="F64" s="6"/>
      <c r="G64" s="2" t="s">
        <v>198</v>
      </c>
      <c r="H64" s="1" t="e">
        <f>IF(G64="","",G64*(H$60+1))</f>
        <v>#VALUE!</v>
      </c>
      <c r="I64" s="3"/>
      <c r="J64" s="1" t="e">
        <f>#REF!</f>
        <v>#REF!</v>
      </c>
    </row>
    <row r="65" spans="1:10" outlineLevel="1" x14ac:dyDescent="0.15">
      <c r="A65" s="86" t="s">
        <v>171</v>
      </c>
      <c r="B65" s="98"/>
      <c r="C65" s="42" t="e">
        <f>IF(#REF!="","",#REF!)</f>
        <v>#REF!</v>
      </c>
      <c r="D65" s="42"/>
      <c r="E65" s="42"/>
      <c r="F65" s="5"/>
      <c r="G65" s="1" t="s">
        <v>203</v>
      </c>
      <c r="H65" s="1" t="e">
        <f>H$63+H$64</f>
        <v>#VALUE!</v>
      </c>
      <c r="I65" s="2"/>
      <c r="J65" s="1" t="e">
        <f>#REF!</f>
        <v>#REF!</v>
      </c>
    </row>
    <row r="66" spans="1:10" x14ac:dyDescent="0.15">
      <c r="A66" s="99" t="s">
        <v>153</v>
      </c>
      <c r="B66" s="100"/>
      <c r="C66" s="49" t="e">
        <f>IF(#REF!="","",#REF!)</f>
        <v>#REF!</v>
      </c>
      <c r="D66" s="49"/>
      <c r="E66" s="49"/>
      <c r="F66" s="5"/>
      <c r="G66" s="1" t="s">
        <v>203</v>
      </c>
      <c r="H66" s="1" t="e">
        <f>H$58-H$65</f>
        <v>#REF!</v>
      </c>
      <c r="I66" s="2"/>
      <c r="J66" s="1" t="e">
        <f>#REF!</f>
        <v>#REF!</v>
      </c>
    </row>
    <row r="67" spans="1:10" outlineLevel="1" x14ac:dyDescent="0.15">
      <c r="A67" s="101" t="s">
        <v>147</v>
      </c>
      <c r="B67" s="102"/>
      <c r="C67" s="19"/>
      <c r="D67" s="50"/>
      <c r="E67" s="50"/>
      <c r="F67" s="5"/>
      <c r="G67" s="1" t="s">
        <v>197</v>
      </c>
      <c r="H67" s="1" t="str">
        <f>G67</f>
        <v>H</v>
      </c>
      <c r="I67" s="2"/>
      <c r="J67" s="1" t="e">
        <f>#REF!</f>
        <v>#REF!</v>
      </c>
    </row>
    <row r="68" spans="1:10" outlineLevel="2" x14ac:dyDescent="0.15">
      <c r="A68" s="78" t="s">
        <v>31</v>
      </c>
      <c r="B68" s="79"/>
      <c r="C68" s="24"/>
      <c r="D68" s="38"/>
      <c r="E68" s="38"/>
      <c r="F68" s="5"/>
      <c r="G68" s="1" t="s">
        <v>197</v>
      </c>
      <c r="H68" s="1" t="str">
        <f>G68</f>
        <v>H</v>
      </c>
      <c r="I68" s="2"/>
      <c r="J68" s="1" t="e">
        <f>#REF!</f>
        <v>#REF!</v>
      </c>
    </row>
    <row r="69" spans="1:10" outlineLevel="2" x14ac:dyDescent="0.15">
      <c r="A69" s="76" t="s">
        <v>32</v>
      </c>
      <c r="B69" s="77"/>
      <c r="C69" s="12" t="e">
        <f>IF(#REF!="","",#REF!)</f>
        <v>#REF!</v>
      </c>
      <c r="D69" s="12"/>
      <c r="E69" s="12"/>
      <c r="F69" s="5"/>
      <c r="G69" s="1" t="s">
        <v>198</v>
      </c>
      <c r="H69" s="1" t="e">
        <f>IF(G69="","",G69*(H$68+1))</f>
        <v>#VALUE!</v>
      </c>
      <c r="I69" s="2"/>
      <c r="J69" s="1" t="e">
        <f>#REF!</f>
        <v>#REF!</v>
      </c>
    </row>
    <row r="70" spans="1:10" outlineLevel="2" x14ac:dyDescent="0.15">
      <c r="A70" s="76" t="s">
        <v>33</v>
      </c>
      <c r="B70" s="77"/>
      <c r="C70" s="26" t="e">
        <f>IF(#REF!="","",#REF!)</f>
        <v>#REF!</v>
      </c>
      <c r="D70" s="13"/>
      <c r="E70" s="13"/>
      <c r="F70" s="5"/>
      <c r="G70" s="1" t="s">
        <v>198</v>
      </c>
      <c r="H70" s="1" t="e">
        <f>IF(G70="","",G70*(H$68+1))</f>
        <v>#VALUE!</v>
      </c>
      <c r="I70" s="2"/>
      <c r="J70" s="1" t="e">
        <f>#REF!</f>
        <v>#REF!</v>
      </c>
    </row>
    <row r="71" spans="1:10" outlineLevel="3" x14ac:dyDescent="0.15">
      <c r="A71" s="83" t="s">
        <v>184</v>
      </c>
      <c r="B71" s="77"/>
      <c r="C71" s="24"/>
      <c r="D71" s="38"/>
      <c r="E71" s="38"/>
      <c r="F71" s="5"/>
      <c r="G71" s="1" t="s">
        <v>199</v>
      </c>
      <c r="H71" s="1" t="str">
        <f>G71</f>
        <v>OH</v>
      </c>
      <c r="I71" s="2"/>
      <c r="J71" s="1" t="e">
        <f>#REF!</f>
        <v>#REF!</v>
      </c>
    </row>
    <row r="72" spans="1:10" outlineLevel="2" x14ac:dyDescent="0.15">
      <c r="A72" s="84" t="s">
        <v>158</v>
      </c>
      <c r="B72" s="85"/>
      <c r="C72" s="29" t="e">
        <f>IF(#REF!="","",#REF!)</f>
        <v>#REF!</v>
      </c>
      <c r="D72" s="30"/>
      <c r="E72" s="30"/>
      <c r="F72" s="5"/>
      <c r="G72" s="1" t="s">
        <v>202</v>
      </c>
      <c r="H72" s="1" t="e">
        <f>IF(G72="","",G72*(H$71+1))</f>
        <v>#VALUE!</v>
      </c>
      <c r="I72" s="2"/>
      <c r="J72" s="1" t="e">
        <f>#REF!</f>
        <v>#REF!</v>
      </c>
    </row>
    <row r="73" spans="1:10" outlineLevel="1" x14ac:dyDescent="0.15">
      <c r="A73" s="86" t="s">
        <v>34</v>
      </c>
      <c r="B73" s="95"/>
      <c r="C73" s="31" t="e">
        <f>IF(#REF!="","",#REF!)</f>
        <v>#REF!</v>
      </c>
      <c r="D73" s="32"/>
      <c r="E73" s="32"/>
      <c r="F73" s="5"/>
      <c r="G73" s="1" t="s">
        <v>201</v>
      </c>
      <c r="H73" s="1" t="e">
        <f>IF(G73="","",G73*(H$68+1))</f>
        <v>#VALUE!</v>
      </c>
      <c r="I73" s="2"/>
      <c r="J73" s="1" t="e">
        <f>#REF!</f>
        <v>#REF!</v>
      </c>
    </row>
    <row r="74" spans="1:10" outlineLevel="1" x14ac:dyDescent="0.15">
      <c r="A74" s="82" t="s">
        <v>35</v>
      </c>
      <c r="B74" s="79"/>
      <c r="C74" s="51" t="e">
        <f>IF(#REF!="","",#REF!)</f>
        <v>#REF!</v>
      </c>
      <c r="D74" s="52"/>
      <c r="E74" s="52"/>
      <c r="F74" s="5"/>
      <c r="G74" s="1" t="s">
        <v>198</v>
      </c>
      <c r="H74" s="1" t="e">
        <f>IF(G74="","",G74*(H$67+1))</f>
        <v>#VALUE!</v>
      </c>
      <c r="I74" s="2"/>
      <c r="J74" s="1" t="e">
        <f>#REF!</f>
        <v>#REF!</v>
      </c>
    </row>
    <row r="75" spans="1:10" outlineLevel="2" x14ac:dyDescent="0.15">
      <c r="A75" s="78" t="s">
        <v>36</v>
      </c>
      <c r="B75" s="79"/>
      <c r="C75" s="24"/>
      <c r="D75" s="38"/>
      <c r="E75" s="38"/>
      <c r="F75" s="5"/>
      <c r="G75" s="1" t="s">
        <v>197</v>
      </c>
      <c r="H75" s="1" t="str">
        <f>G75</f>
        <v>H</v>
      </c>
      <c r="I75" s="2"/>
      <c r="J75" s="1" t="e">
        <f>#REF!</f>
        <v>#REF!</v>
      </c>
    </row>
    <row r="76" spans="1:10" outlineLevel="2" x14ac:dyDescent="0.15">
      <c r="A76" s="76" t="s">
        <v>37</v>
      </c>
      <c r="B76" s="77"/>
      <c r="C76" s="12" t="e">
        <f>IF(#REF!="","",#REF!)</f>
        <v>#REF!</v>
      </c>
      <c r="D76" s="12"/>
      <c r="E76" s="12"/>
      <c r="F76" s="5"/>
      <c r="G76" s="1" t="s">
        <v>198</v>
      </c>
      <c r="H76" s="1" t="e">
        <f t="shared" ref="H76:H82" si="3">IF(G76="","",G76*(H$75+1))</f>
        <v>#VALUE!</v>
      </c>
      <c r="I76" s="2"/>
      <c r="J76" s="1" t="e">
        <f>#REF!</f>
        <v>#REF!</v>
      </c>
    </row>
    <row r="77" spans="1:10" outlineLevel="2" x14ac:dyDescent="0.15">
      <c r="A77" s="76" t="s">
        <v>38</v>
      </c>
      <c r="B77" s="77"/>
      <c r="C77" s="13" t="e">
        <f>IF(#REF!="","",#REF!)</f>
        <v>#REF!</v>
      </c>
      <c r="D77" s="13"/>
      <c r="E77" s="13"/>
      <c r="F77" s="5"/>
      <c r="G77" s="1" t="s">
        <v>198</v>
      </c>
      <c r="H77" s="1" t="e">
        <f t="shared" si="3"/>
        <v>#VALUE!</v>
      </c>
      <c r="I77" s="2"/>
      <c r="J77" s="1" t="e">
        <f>#REF!</f>
        <v>#REF!</v>
      </c>
    </row>
    <row r="78" spans="1:10" outlineLevel="2" x14ac:dyDescent="0.15">
      <c r="A78" s="76" t="s">
        <v>39</v>
      </c>
      <c r="B78" s="77"/>
      <c r="C78" s="13" t="e">
        <f>IF(#REF!="","",#REF!)</f>
        <v>#REF!</v>
      </c>
      <c r="D78" s="13"/>
      <c r="E78" s="13"/>
      <c r="F78" s="5"/>
      <c r="G78" s="1" t="s">
        <v>198</v>
      </c>
      <c r="H78" s="1" t="e">
        <f t="shared" si="3"/>
        <v>#VALUE!</v>
      </c>
      <c r="I78" s="2"/>
      <c r="J78" s="1" t="e">
        <f>#REF!</f>
        <v>#REF!</v>
      </c>
    </row>
    <row r="79" spans="1:10" outlineLevel="2" x14ac:dyDescent="0.15">
      <c r="A79" s="76" t="s">
        <v>40</v>
      </c>
      <c r="B79" s="77"/>
      <c r="C79" s="13" t="e">
        <f>IF(#REF!="","",#REF!)</f>
        <v>#REF!</v>
      </c>
      <c r="D79" s="13"/>
      <c r="E79" s="13"/>
      <c r="F79" s="5"/>
      <c r="G79" s="1" t="s">
        <v>198</v>
      </c>
      <c r="H79" s="1" t="e">
        <f t="shared" si="3"/>
        <v>#VALUE!</v>
      </c>
      <c r="I79" s="2"/>
      <c r="J79" s="1" t="e">
        <f>#REF!</f>
        <v>#REF!</v>
      </c>
    </row>
    <row r="80" spans="1:10" outlineLevel="2" x14ac:dyDescent="0.15">
      <c r="A80" s="76" t="s">
        <v>41</v>
      </c>
      <c r="B80" s="77"/>
      <c r="C80" s="13" t="e">
        <f>IF(#REF!="","",#REF!)</f>
        <v>#REF!</v>
      </c>
      <c r="D80" s="13"/>
      <c r="E80" s="13"/>
      <c r="F80" s="5"/>
      <c r="G80" s="1" t="s">
        <v>198</v>
      </c>
      <c r="H80" s="1" t="e">
        <f t="shared" si="3"/>
        <v>#VALUE!</v>
      </c>
      <c r="I80" s="2"/>
      <c r="J80" s="1" t="e">
        <f>#REF!</f>
        <v>#REF!</v>
      </c>
    </row>
    <row r="81" spans="1:10" outlineLevel="2" x14ac:dyDescent="0.15">
      <c r="A81" s="76" t="s">
        <v>42</v>
      </c>
      <c r="B81" s="77"/>
      <c r="C81" s="13" t="e">
        <f>IF(#REF!="","",#REF!)</f>
        <v>#REF!</v>
      </c>
      <c r="D81" s="13"/>
      <c r="E81" s="13"/>
      <c r="F81" s="5"/>
      <c r="G81" s="1" t="s">
        <v>198</v>
      </c>
      <c r="H81" s="1" t="e">
        <f t="shared" si="3"/>
        <v>#VALUE!</v>
      </c>
      <c r="I81" s="2"/>
      <c r="J81" s="1" t="e">
        <f>#REF!</f>
        <v>#REF!</v>
      </c>
    </row>
    <row r="82" spans="1:10" outlineLevel="2" x14ac:dyDescent="0.15">
      <c r="A82" s="76" t="s">
        <v>43</v>
      </c>
      <c r="B82" s="77"/>
      <c r="C82" s="26" t="e">
        <f>IF(#REF!="","",#REF!)</f>
        <v>#REF!</v>
      </c>
      <c r="D82" s="13"/>
      <c r="E82" s="13"/>
      <c r="F82" s="5"/>
      <c r="G82" s="1" t="s">
        <v>198</v>
      </c>
      <c r="H82" s="1" t="e">
        <f t="shared" si="3"/>
        <v>#VALUE!</v>
      </c>
      <c r="I82" s="2"/>
      <c r="J82" s="1" t="e">
        <f>#REF!</f>
        <v>#REF!</v>
      </c>
    </row>
    <row r="83" spans="1:10" outlineLevel="3" x14ac:dyDescent="0.15">
      <c r="A83" s="83" t="s">
        <v>185</v>
      </c>
      <c r="B83" s="77"/>
      <c r="C83" s="24"/>
      <c r="D83" s="38"/>
      <c r="E83" s="38"/>
      <c r="F83" s="5"/>
      <c r="G83" s="1" t="s">
        <v>199</v>
      </c>
      <c r="H83" s="1" t="str">
        <f>G83</f>
        <v>OH</v>
      </c>
      <c r="I83" s="2"/>
      <c r="J83" s="1" t="e">
        <f>#REF!</f>
        <v>#REF!</v>
      </c>
    </row>
    <row r="84" spans="1:10" outlineLevel="2" x14ac:dyDescent="0.15">
      <c r="A84" s="84" t="s">
        <v>159</v>
      </c>
      <c r="B84" s="85"/>
      <c r="C84" s="29" t="e">
        <f>IF(#REF!="","",#REF!)</f>
        <v>#REF!</v>
      </c>
      <c r="D84" s="30"/>
      <c r="E84" s="30"/>
      <c r="F84" s="5"/>
      <c r="G84" s="1" t="s">
        <v>202</v>
      </c>
      <c r="H84" s="1" t="e">
        <f>IF(G84="","",G84*(H$83+1))</f>
        <v>#VALUE!</v>
      </c>
      <c r="I84" s="2"/>
      <c r="J84" s="1" t="e">
        <f>#REF!</f>
        <v>#REF!</v>
      </c>
    </row>
    <row r="85" spans="1:10" outlineLevel="1" x14ac:dyDescent="0.15">
      <c r="A85" s="86" t="s">
        <v>44</v>
      </c>
      <c r="B85" s="79"/>
      <c r="C85" s="31" t="e">
        <f>IF(#REF!="","",#REF!)</f>
        <v>#REF!</v>
      </c>
      <c r="D85" s="32"/>
      <c r="E85" s="32"/>
      <c r="F85" s="5"/>
      <c r="G85" s="1" t="s">
        <v>201</v>
      </c>
      <c r="H85" s="1" t="e">
        <f>IF(G85="","",G85*(H$75+1))</f>
        <v>#VALUE!</v>
      </c>
      <c r="I85" s="2"/>
      <c r="J85" s="1" t="e">
        <f>#REF!</f>
        <v>#REF!</v>
      </c>
    </row>
    <row r="86" spans="1:10" outlineLevel="2" x14ac:dyDescent="0.15">
      <c r="A86" s="78" t="s">
        <v>45</v>
      </c>
      <c r="B86" s="79"/>
      <c r="C86" s="24"/>
      <c r="D86" s="38"/>
      <c r="E86" s="38"/>
      <c r="F86" s="5"/>
      <c r="G86" s="1" t="s">
        <v>197</v>
      </c>
      <c r="H86" s="1" t="str">
        <f>G86</f>
        <v>H</v>
      </c>
      <c r="I86" s="2"/>
      <c r="J86" s="1" t="e">
        <f>#REF!</f>
        <v>#REF!</v>
      </c>
    </row>
    <row r="87" spans="1:10" outlineLevel="2" x14ac:dyDescent="0.15">
      <c r="A87" s="76" t="s">
        <v>46</v>
      </c>
      <c r="B87" s="77"/>
      <c r="C87" s="8" t="e">
        <f>IF(#REF!="","",#REF!)</f>
        <v>#REF!</v>
      </c>
      <c r="D87" s="8"/>
      <c r="E87" s="8"/>
      <c r="F87" s="5"/>
      <c r="G87" s="1" t="s">
        <v>198</v>
      </c>
      <c r="H87" s="1" t="e">
        <f>IF(G87="","",G87*(H$86+1))</f>
        <v>#VALUE!</v>
      </c>
      <c r="I87" s="2"/>
      <c r="J87" s="1" t="e">
        <f>#REF!</f>
        <v>#REF!</v>
      </c>
    </row>
    <row r="88" spans="1:10" outlineLevel="2" x14ac:dyDescent="0.15">
      <c r="A88" s="76" t="s">
        <v>47</v>
      </c>
      <c r="B88" s="77"/>
      <c r="C88" s="9" t="e">
        <f>IF(#REF!="","",#REF!)</f>
        <v>#REF!</v>
      </c>
      <c r="D88" s="9"/>
      <c r="E88" s="9"/>
      <c r="F88" s="5"/>
      <c r="G88" s="1" t="s">
        <v>198</v>
      </c>
      <c r="H88" s="1" t="e">
        <f>IF(G88="","",G88*(H$86+1))</f>
        <v>#VALUE!</v>
      </c>
      <c r="I88" s="2"/>
      <c r="J88" s="1" t="e">
        <f>#REF!</f>
        <v>#REF!</v>
      </c>
    </row>
    <row r="89" spans="1:10" outlineLevel="2" x14ac:dyDescent="0.15">
      <c r="A89" s="76" t="s">
        <v>48</v>
      </c>
      <c r="B89" s="77"/>
      <c r="C89" s="9" t="e">
        <f>IF(#REF!="","",#REF!)</f>
        <v>#REF!</v>
      </c>
      <c r="D89" s="9"/>
      <c r="E89" s="9"/>
      <c r="F89" s="5"/>
      <c r="G89" s="1" t="s">
        <v>198</v>
      </c>
      <c r="H89" s="1" t="e">
        <f>IF(G89="","",G89*(H$86+1))</f>
        <v>#VALUE!</v>
      </c>
      <c r="I89" s="2"/>
      <c r="J89" s="1" t="e">
        <f>#REF!</f>
        <v>#REF!</v>
      </c>
    </row>
    <row r="90" spans="1:10" outlineLevel="2" x14ac:dyDescent="0.15">
      <c r="A90" s="76" t="s">
        <v>49</v>
      </c>
      <c r="B90" s="77"/>
      <c r="C90" s="17" t="e">
        <f>IF(#REF!="","",#REF!)</f>
        <v>#REF!</v>
      </c>
      <c r="D90" s="17"/>
      <c r="E90" s="17"/>
      <c r="F90" s="5"/>
      <c r="G90" s="1" t="s">
        <v>198</v>
      </c>
      <c r="H90" s="1" t="e">
        <f>IF(G90="","",G90*(H$86+1))</f>
        <v>#VALUE!</v>
      </c>
      <c r="I90" s="2"/>
      <c r="J90" s="1" t="e">
        <f>#REF!</f>
        <v>#REF!</v>
      </c>
    </row>
    <row r="91" spans="1:10" outlineLevel="2" x14ac:dyDescent="0.15">
      <c r="A91" s="76" t="s">
        <v>50</v>
      </c>
      <c r="B91" s="77"/>
      <c r="C91" s="53" t="e">
        <f>IF(#REF!="","",#REF!)</f>
        <v>#REF!</v>
      </c>
      <c r="D91" s="17"/>
      <c r="E91" s="17"/>
      <c r="F91" s="5"/>
      <c r="G91" s="1" t="s">
        <v>198</v>
      </c>
      <c r="H91" s="1" t="e">
        <f>IF(G91="","",G91*(H$86+1))</f>
        <v>#VALUE!</v>
      </c>
      <c r="I91" s="2"/>
      <c r="J91" s="1" t="e">
        <f>#REF!</f>
        <v>#REF!</v>
      </c>
    </row>
    <row r="92" spans="1:10" outlineLevel="3" x14ac:dyDescent="0.15">
      <c r="A92" s="83" t="s">
        <v>186</v>
      </c>
      <c r="B92" s="77"/>
      <c r="C92" s="24"/>
      <c r="D92" s="38"/>
      <c r="E92" s="38"/>
      <c r="F92" s="5"/>
      <c r="G92" s="1" t="s">
        <v>199</v>
      </c>
      <c r="H92" s="1" t="str">
        <f>G92</f>
        <v>OH</v>
      </c>
      <c r="I92" s="2"/>
      <c r="J92" s="1" t="e">
        <f>#REF!</f>
        <v>#REF!</v>
      </c>
    </row>
    <row r="93" spans="1:10" outlineLevel="2" x14ac:dyDescent="0.15">
      <c r="A93" s="84" t="s">
        <v>160</v>
      </c>
      <c r="B93" s="85"/>
      <c r="C93" s="29" t="e">
        <f>IF(#REF!="","",#REF!)</f>
        <v>#REF!</v>
      </c>
      <c r="D93" s="30"/>
      <c r="E93" s="30"/>
      <c r="F93" s="5"/>
      <c r="G93" s="1" t="s">
        <v>202</v>
      </c>
      <c r="H93" s="1" t="e">
        <f>IF(G93="","",G93*(H$92+1))</f>
        <v>#VALUE!</v>
      </c>
      <c r="I93" s="2"/>
      <c r="J93" s="1" t="e">
        <f>#REF!</f>
        <v>#REF!</v>
      </c>
    </row>
    <row r="94" spans="1:10" outlineLevel="1" x14ac:dyDescent="0.15">
      <c r="A94" s="86" t="s">
        <v>51</v>
      </c>
      <c r="B94" s="79"/>
      <c r="C94" s="42" t="e">
        <f>IF(#REF!="","",#REF!)</f>
        <v>#REF!</v>
      </c>
      <c r="D94" s="42"/>
      <c r="E94" s="42"/>
      <c r="F94" s="5"/>
      <c r="G94" s="1" t="s">
        <v>203</v>
      </c>
      <c r="H94" s="1" t="e">
        <f>SUM(H$87:H$91)+H$93</f>
        <v>#VALUE!</v>
      </c>
      <c r="I94" s="2"/>
      <c r="J94" s="1" t="e">
        <f>#REF!</f>
        <v>#REF!</v>
      </c>
    </row>
    <row r="95" spans="1:10" outlineLevel="2" x14ac:dyDescent="0.15">
      <c r="A95" s="78" t="s">
        <v>176</v>
      </c>
      <c r="B95" s="79"/>
      <c r="C95" s="24"/>
      <c r="D95" s="38"/>
      <c r="E95" s="38"/>
      <c r="F95" s="5"/>
      <c r="G95" s="1" t="s">
        <v>197</v>
      </c>
      <c r="H95" s="1" t="str">
        <f>G95</f>
        <v>H</v>
      </c>
      <c r="I95" s="2"/>
      <c r="J95" s="1" t="e">
        <f>#REF!</f>
        <v>#REF!</v>
      </c>
    </row>
    <row r="96" spans="1:10" outlineLevel="2" x14ac:dyDescent="0.15">
      <c r="A96" s="76" t="s">
        <v>52</v>
      </c>
      <c r="B96" s="77"/>
      <c r="C96" s="8" t="e">
        <f>IF(#REF!="","",#REF!)</f>
        <v>#REF!</v>
      </c>
      <c r="D96" s="8"/>
      <c r="E96" s="8"/>
      <c r="F96" s="5"/>
      <c r="G96" s="1" t="s">
        <v>198</v>
      </c>
      <c r="H96" s="1" t="e">
        <f t="shared" ref="H96:H105" si="4">IF(G96="","",G96*(H$95+1))</f>
        <v>#VALUE!</v>
      </c>
      <c r="I96" s="2"/>
      <c r="J96" s="1" t="e">
        <f>#REF!</f>
        <v>#REF!</v>
      </c>
    </row>
    <row r="97" spans="1:10" outlineLevel="2" x14ac:dyDescent="0.15">
      <c r="A97" s="76" t="s">
        <v>53</v>
      </c>
      <c r="B97" s="77"/>
      <c r="C97" s="9" t="e">
        <f>IF(#REF!="","",#REF!)</f>
        <v>#REF!</v>
      </c>
      <c r="D97" s="9"/>
      <c r="E97" s="9"/>
      <c r="F97" s="5"/>
      <c r="G97" s="1" t="s">
        <v>198</v>
      </c>
      <c r="H97" s="1" t="e">
        <f t="shared" si="4"/>
        <v>#VALUE!</v>
      </c>
      <c r="I97" s="2"/>
      <c r="J97" s="1" t="e">
        <f>#REF!</f>
        <v>#REF!</v>
      </c>
    </row>
    <row r="98" spans="1:10" outlineLevel="2" x14ac:dyDescent="0.15">
      <c r="A98" s="76" t="s">
        <v>54</v>
      </c>
      <c r="B98" s="77"/>
      <c r="C98" s="9" t="e">
        <f>IF(#REF!="","",#REF!)</f>
        <v>#REF!</v>
      </c>
      <c r="D98" s="9"/>
      <c r="E98" s="9"/>
      <c r="F98" s="5"/>
      <c r="G98" s="1" t="s">
        <v>198</v>
      </c>
      <c r="H98" s="1" t="e">
        <f t="shared" si="4"/>
        <v>#VALUE!</v>
      </c>
      <c r="I98" s="2"/>
      <c r="J98" s="1" t="e">
        <f>#REF!</f>
        <v>#REF!</v>
      </c>
    </row>
    <row r="99" spans="1:10" outlineLevel="2" x14ac:dyDescent="0.15">
      <c r="A99" s="76" t="s">
        <v>55</v>
      </c>
      <c r="B99" s="77"/>
      <c r="C99" s="9" t="e">
        <f>IF(#REF!="","",#REF!)</f>
        <v>#REF!</v>
      </c>
      <c r="D99" s="9"/>
      <c r="E99" s="9"/>
      <c r="F99" s="5"/>
      <c r="G99" s="1" t="s">
        <v>198</v>
      </c>
      <c r="H99" s="1" t="e">
        <f t="shared" si="4"/>
        <v>#VALUE!</v>
      </c>
      <c r="I99" s="2"/>
      <c r="J99" s="1" t="e">
        <f>#REF!</f>
        <v>#REF!</v>
      </c>
    </row>
    <row r="100" spans="1:10" outlineLevel="2" x14ac:dyDescent="0.15">
      <c r="A100" s="76" t="s">
        <v>56</v>
      </c>
      <c r="B100" s="77"/>
      <c r="C100" s="9" t="e">
        <f>IF(#REF!="","",#REF!)</f>
        <v>#REF!</v>
      </c>
      <c r="D100" s="9"/>
      <c r="E100" s="9"/>
      <c r="F100" s="5"/>
      <c r="G100" s="1" t="s">
        <v>198</v>
      </c>
      <c r="H100" s="1" t="e">
        <f t="shared" si="4"/>
        <v>#VALUE!</v>
      </c>
      <c r="I100" s="2"/>
      <c r="J100" s="1" t="e">
        <f>#REF!</f>
        <v>#REF!</v>
      </c>
    </row>
    <row r="101" spans="1:10" outlineLevel="2" x14ac:dyDescent="0.15">
      <c r="A101" s="76" t="s">
        <v>57</v>
      </c>
      <c r="B101" s="77"/>
      <c r="C101" s="9" t="e">
        <f>IF(#REF!="","",#REF!)</f>
        <v>#REF!</v>
      </c>
      <c r="D101" s="9"/>
      <c r="E101" s="9"/>
      <c r="F101" s="5"/>
      <c r="G101" s="1" t="s">
        <v>198</v>
      </c>
      <c r="H101" s="1" t="e">
        <f t="shared" si="4"/>
        <v>#VALUE!</v>
      </c>
      <c r="I101" s="2"/>
      <c r="J101" s="1" t="e">
        <f>#REF!</f>
        <v>#REF!</v>
      </c>
    </row>
    <row r="102" spans="1:10" outlineLevel="2" x14ac:dyDescent="0.15">
      <c r="A102" s="103" t="s">
        <v>58</v>
      </c>
      <c r="B102" s="77"/>
      <c r="C102" s="9" t="e">
        <f>IF(#REF!="","",#REF!)</f>
        <v>#REF!</v>
      </c>
      <c r="D102" s="9"/>
      <c r="E102" s="9"/>
      <c r="F102" s="5"/>
      <c r="G102" s="1" t="s">
        <v>198</v>
      </c>
      <c r="H102" s="1" t="e">
        <f t="shared" si="4"/>
        <v>#VALUE!</v>
      </c>
      <c r="I102" s="2"/>
      <c r="J102" s="1" t="e">
        <f>#REF!</f>
        <v>#REF!</v>
      </c>
    </row>
    <row r="103" spans="1:10" outlineLevel="2" x14ac:dyDescent="0.15">
      <c r="A103" s="103" t="s">
        <v>59</v>
      </c>
      <c r="B103" s="77"/>
      <c r="C103" s="17" t="e">
        <f>IF(#REF!="","",#REF!)</f>
        <v>#REF!</v>
      </c>
      <c r="D103" s="17"/>
      <c r="E103" s="17"/>
      <c r="F103" s="5"/>
      <c r="G103" s="1" t="s">
        <v>198</v>
      </c>
      <c r="H103" s="1" t="e">
        <f t="shared" si="4"/>
        <v>#VALUE!</v>
      </c>
      <c r="I103" s="2"/>
      <c r="J103" s="1" t="e">
        <f>#REF!</f>
        <v>#REF!</v>
      </c>
    </row>
    <row r="104" spans="1:10" outlineLevel="2" x14ac:dyDescent="0.15">
      <c r="A104" s="76" t="s">
        <v>60</v>
      </c>
      <c r="B104" s="77"/>
      <c r="C104" s="17" t="e">
        <f>IF(#REF!="","",#REF!)</f>
        <v>#REF!</v>
      </c>
      <c r="D104" s="17"/>
      <c r="E104" s="17"/>
      <c r="F104" s="5"/>
      <c r="G104" s="1" t="s">
        <v>198</v>
      </c>
      <c r="H104" s="1" t="e">
        <f t="shared" si="4"/>
        <v>#VALUE!</v>
      </c>
      <c r="I104" s="2"/>
      <c r="J104" s="1" t="e">
        <f>#REF!</f>
        <v>#REF!</v>
      </c>
    </row>
    <row r="105" spans="1:10" outlineLevel="2" x14ac:dyDescent="0.15">
      <c r="A105" s="103" t="s">
        <v>61</v>
      </c>
      <c r="B105" s="77"/>
      <c r="C105" s="17" t="e">
        <f>IF(#REF!="","",#REF!)</f>
        <v>#REF!</v>
      </c>
      <c r="D105" s="17"/>
      <c r="E105" s="17"/>
      <c r="F105" s="5"/>
      <c r="G105" s="1" t="s">
        <v>198</v>
      </c>
      <c r="H105" s="1" t="e">
        <f t="shared" si="4"/>
        <v>#VALUE!</v>
      </c>
      <c r="I105" s="2"/>
      <c r="J105" s="1" t="e">
        <f>#REF!</f>
        <v>#REF!</v>
      </c>
    </row>
    <row r="106" spans="1:10" outlineLevel="3" x14ac:dyDescent="0.15">
      <c r="A106" s="83" t="s">
        <v>187</v>
      </c>
      <c r="B106" s="77"/>
      <c r="C106" s="20"/>
      <c r="D106" s="38"/>
      <c r="E106" s="38"/>
      <c r="F106" s="5"/>
      <c r="G106" s="1" t="s">
        <v>199</v>
      </c>
      <c r="H106" s="1" t="str">
        <f>G106</f>
        <v>OH</v>
      </c>
      <c r="I106" s="2"/>
      <c r="J106" s="1" t="e">
        <f>#REF!</f>
        <v>#REF!</v>
      </c>
    </row>
    <row r="107" spans="1:10" outlineLevel="2" x14ac:dyDescent="0.15">
      <c r="A107" s="84" t="s">
        <v>177</v>
      </c>
      <c r="B107" s="85"/>
      <c r="C107" s="29" t="e">
        <f>IF(#REF!="","",#REF!)</f>
        <v>#REF!</v>
      </c>
      <c r="D107" s="30"/>
      <c r="E107" s="30"/>
      <c r="F107" s="5"/>
      <c r="G107" s="1" t="s">
        <v>202</v>
      </c>
      <c r="H107" s="1" t="e">
        <f>IF(G107="","",G107*(H$106+1))</f>
        <v>#VALUE!</v>
      </c>
      <c r="I107" s="2"/>
      <c r="J107" s="1" t="e">
        <f>#REF!</f>
        <v>#REF!</v>
      </c>
    </row>
    <row r="108" spans="1:10" outlineLevel="1" x14ac:dyDescent="0.15">
      <c r="A108" s="86" t="s">
        <v>178</v>
      </c>
      <c r="B108" s="95"/>
      <c r="C108" s="54" t="e">
        <f>IF(#REF!="","",#REF!)</f>
        <v>#REF!</v>
      </c>
      <c r="D108" s="49"/>
      <c r="E108" s="49"/>
      <c r="F108" s="5"/>
      <c r="G108" s="1" t="s">
        <v>203</v>
      </c>
      <c r="H108" s="1" t="e">
        <f>SUM(H$96:H$105)+H$107</f>
        <v>#VALUE!</v>
      </c>
      <c r="I108" s="2"/>
      <c r="J108" s="1" t="e">
        <f>#REF!</f>
        <v>#REF!</v>
      </c>
    </row>
    <row r="109" spans="1:10" outlineLevel="1" x14ac:dyDescent="0.15">
      <c r="A109" s="82" t="s">
        <v>62</v>
      </c>
      <c r="B109" s="79"/>
      <c r="C109" s="51" t="e">
        <f>IF(#REF!="","",#REF!)</f>
        <v>#REF!</v>
      </c>
      <c r="D109" s="52"/>
      <c r="E109" s="52"/>
      <c r="F109" s="5"/>
      <c r="G109" s="1" t="s">
        <v>198</v>
      </c>
      <c r="H109" s="1" t="e">
        <f>IF(G109="","",G109*(H$67+1))</f>
        <v>#VALUE!</v>
      </c>
      <c r="I109" s="2"/>
      <c r="J109" s="1" t="e">
        <f>#REF!</f>
        <v>#REF!</v>
      </c>
    </row>
    <row r="110" spans="1:10" outlineLevel="2" x14ac:dyDescent="0.15">
      <c r="A110" s="78" t="s">
        <v>63</v>
      </c>
      <c r="B110" s="79"/>
      <c r="C110" s="24"/>
      <c r="D110" s="38"/>
      <c r="E110" s="38"/>
      <c r="F110" s="5"/>
      <c r="G110" s="1" t="s">
        <v>197</v>
      </c>
      <c r="H110" s="1" t="str">
        <f>G110</f>
        <v>H</v>
      </c>
      <c r="I110" s="2"/>
      <c r="J110" s="1" t="e">
        <f>#REF!</f>
        <v>#REF!</v>
      </c>
    </row>
    <row r="111" spans="1:10" outlineLevel="2" x14ac:dyDescent="0.15">
      <c r="A111" s="76" t="s">
        <v>64</v>
      </c>
      <c r="B111" s="77"/>
      <c r="C111" s="18" t="e">
        <f>IF(#REF!="","",#REF!)</f>
        <v>#REF!</v>
      </c>
      <c r="D111" s="18"/>
      <c r="E111" s="18"/>
      <c r="F111" s="5"/>
      <c r="G111" s="1" t="s">
        <v>198</v>
      </c>
      <c r="H111" s="1" t="e">
        <f t="shared" ref="H111:H116" si="5">IF(G111="","",G111*(H$110+1))</f>
        <v>#VALUE!</v>
      </c>
      <c r="I111" s="2"/>
      <c r="J111" s="1" t="e">
        <f>#REF!</f>
        <v>#REF!</v>
      </c>
    </row>
    <row r="112" spans="1:10" outlineLevel="2" x14ac:dyDescent="0.15">
      <c r="A112" s="76" t="s">
        <v>65</v>
      </c>
      <c r="B112" s="77"/>
      <c r="C112" s="17" t="e">
        <f>IF(#REF!="","",#REF!)</f>
        <v>#REF!</v>
      </c>
      <c r="D112" s="17"/>
      <c r="E112" s="17"/>
      <c r="F112" s="5"/>
      <c r="G112" s="1" t="s">
        <v>198</v>
      </c>
      <c r="H112" s="1" t="e">
        <f t="shared" si="5"/>
        <v>#VALUE!</v>
      </c>
      <c r="I112" s="2"/>
      <c r="J112" s="1" t="e">
        <f>#REF!</f>
        <v>#REF!</v>
      </c>
    </row>
    <row r="113" spans="1:10" outlineLevel="2" x14ac:dyDescent="0.15">
      <c r="A113" s="76" t="s">
        <v>66</v>
      </c>
      <c r="B113" s="77"/>
      <c r="C113" s="17" t="e">
        <f>IF(#REF!="","",#REF!)</f>
        <v>#REF!</v>
      </c>
      <c r="D113" s="17"/>
      <c r="E113" s="17"/>
      <c r="F113" s="5"/>
      <c r="G113" s="1" t="s">
        <v>198</v>
      </c>
      <c r="H113" s="1" t="e">
        <f t="shared" si="5"/>
        <v>#VALUE!</v>
      </c>
      <c r="I113" s="2"/>
      <c r="J113" s="1" t="e">
        <f>#REF!</f>
        <v>#REF!</v>
      </c>
    </row>
    <row r="114" spans="1:10" outlineLevel="2" x14ac:dyDescent="0.15">
      <c r="A114" s="76" t="s">
        <v>142</v>
      </c>
      <c r="B114" s="77"/>
      <c r="C114" s="17" t="e">
        <f>IF(#REF!="","",#REF!)</f>
        <v>#REF!</v>
      </c>
      <c r="D114" s="17"/>
      <c r="E114" s="17"/>
      <c r="F114" s="5"/>
      <c r="G114" s="1" t="s">
        <v>198</v>
      </c>
      <c r="H114" s="1" t="e">
        <f t="shared" si="5"/>
        <v>#VALUE!</v>
      </c>
      <c r="I114" s="2"/>
      <c r="J114" s="1" t="e">
        <f>#REF!</f>
        <v>#REF!</v>
      </c>
    </row>
    <row r="115" spans="1:10" outlineLevel="2" x14ac:dyDescent="0.15">
      <c r="A115" s="76" t="s">
        <v>67</v>
      </c>
      <c r="B115" s="77"/>
      <c r="C115" s="17" t="e">
        <f>IF(#REF!="","",#REF!)</f>
        <v>#REF!</v>
      </c>
      <c r="D115" s="17"/>
      <c r="E115" s="17"/>
      <c r="F115" s="5"/>
      <c r="G115" s="1" t="s">
        <v>198</v>
      </c>
      <c r="H115" s="1" t="e">
        <f t="shared" si="5"/>
        <v>#VALUE!</v>
      </c>
      <c r="I115" s="2"/>
      <c r="J115" s="1" t="e">
        <f>#REF!</f>
        <v>#REF!</v>
      </c>
    </row>
    <row r="116" spans="1:10" outlineLevel="2" x14ac:dyDescent="0.15">
      <c r="A116" s="76" t="s">
        <v>68</v>
      </c>
      <c r="B116" s="77"/>
      <c r="C116" s="53" t="e">
        <f>IF(#REF!="","",#REF!)</f>
        <v>#REF!</v>
      </c>
      <c r="D116" s="17"/>
      <c r="E116" s="17"/>
      <c r="F116" s="5"/>
      <c r="G116" s="1" t="s">
        <v>198</v>
      </c>
      <c r="H116" s="1" t="e">
        <f t="shared" si="5"/>
        <v>#VALUE!</v>
      </c>
      <c r="I116" s="2"/>
      <c r="J116" s="1" t="e">
        <f>#REF!</f>
        <v>#REF!</v>
      </c>
    </row>
    <row r="117" spans="1:10" outlineLevel="3" x14ac:dyDescent="0.15">
      <c r="A117" s="83" t="s">
        <v>188</v>
      </c>
      <c r="B117" s="77"/>
      <c r="C117" s="24"/>
      <c r="D117" s="38"/>
      <c r="E117" s="38"/>
      <c r="F117" s="5"/>
      <c r="G117" s="1" t="s">
        <v>199</v>
      </c>
      <c r="H117" s="1" t="str">
        <f>G117</f>
        <v>OH</v>
      </c>
      <c r="I117" s="2"/>
      <c r="J117" s="1" t="e">
        <f>#REF!</f>
        <v>#REF!</v>
      </c>
    </row>
    <row r="118" spans="1:10" outlineLevel="2" x14ac:dyDescent="0.15">
      <c r="A118" s="84" t="s">
        <v>161</v>
      </c>
      <c r="B118" s="85"/>
      <c r="C118" s="29" t="e">
        <f>IF(#REF!="","",#REF!)</f>
        <v>#REF!</v>
      </c>
      <c r="D118" s="30"/>
      <c r="E118" s="30"/>
      <c r="F118" s="5"/>
      <c r="G118" s="1" t="s">
        <v>202</v>
      </c>
      <c r="H118" s="1" t="e">
        <f>IF(G118="","",G118*(H$117+1))</f>
        <v>#VALUE!</v>
      </c>
      <c r="I118" s="2"/>
      <c r="J118" s="1" t="e">
        <f>#REF!</f>
        <v>#REF!</v>
      </c>
    </row>
    <row r="119" spans="1:10" outlineLevel="1" x14ac:dyDescent="0.15">
      <c r="A119" s="86" t="s">
        <v>69</v>
      </c>
      <c r="B119" s="79"/>
      <c r="C119" s="42" t="e">
        <f>IF(#REF!="","",#REF!)</f>
        <v>#REF!</v>
      </c>
      <c r="D119" s="42"/>
      <c r="E119" s="42"/>
      <c r="F119" s="5"/>
      <c r="G119" s="1" t="s">
        <v>203</v>
      </c>
      <c r="H119" s="1" t="e">
        <f>SUM(H$111:H$116)+H$118</f>
        <v>#VALUE!</v>
      </c>
      <c r="I119" s="2"/>
      <c r="J119" s="1" t="e">
        <f>#REF!</f>
        <v>#REF!</v>
      </c>
    </row>
    <row r="120" spans="1:10" outlineLevel="2" x14ac:dyDescent="0.15">
      <c r="A120" s="78" t="s">
        <v>70</v>
      </c>
      <c r="B120" s="79"/>
      <c r="C120" s="24"/>
      <c r="D120" s="38"/>
      <c r="E120" s="38"/>
      <c r="F120" s="5"/>
      <c r="G120" s="1" t="s">
        <v>197</v>
      </c>
      <c r="H120" s="1" t="str">
        <f>G120</f>
        <v>H</v>
      </c>
      <c r="I120" s="2"/>
      <c r="J120" s="1" t="e">
        <f>#REF!</f>
        <v>#REF!</v>
      </c>
    </row>
    <row r="121" spans="1:10" outlineLevel="2" x14ac:dyDescent="0.15">
      <c r="A121" s="103" t="s">
        <v>71</v>
      </c>
      <c r="B121" s="77"/>
      <c r="C121" s="18" t="e">
        <f>IF(#REF!="","",#REF!)</f>
        <v>#REF!</v>
      </c>
      <c r="D121" s="18"/>
      <c r="E121" s="18"/>
      <c r="F121" s="5"/>
      <c r="G121" s="1" t="s">
        <v>198</v>
      </c>
      <c r="H121" s="1" t="e">
        <f t="shared" ref="H121:H130" si="6">IF(G121="","",G121*(H$120+1))</f>
        <v>#VALUE!</v>
      </c>
      <c r="I121" s="2"/>
      <c r="J121" s="1" t="e">
        <f>#REF!</f>
        <v>#REF!</v>
      </c>
    </row>
    <row r="122" spans="1:10" outlineLevel="2" x14ac:dyDescent="0.15">
      <c r="A122" s="76" t="s">
        <v>72</v>
      </c>
      <c r="B122" s="77"/>
      <c r="C122" s="17" t="e">
        <f>IF(#REF!="","",#REF!)</f>
        <v>#REF!</v>
      </c>
      <c r="D122" s="17"/>
      <c r="E122" s="17"/>
      <c r="F122" s="5"/>
      <c r="G122" s="1" t="s">
        <v>198</v>
      </c>
      <c r="H122" s="1" t="e">
        <f t="shared" si="6"/>
        <v>#VALUE!</v>
      </c>
      <c r="I122" s="2"/>
      <c r="J122" s="1" t="e">
        <f>#REF!</f>
        <v>#REF!</v>
      </c>
    </row>
    <row r="123" spans="1:10" outlineLevel="2" x14ac:dyDescent="0.15">
      <c r="A123" s="103" t="s">
        <v>73</v>
      </c>
      <c r="B123" s="77"/>
      <c r="C123" s="17" t="e">
        <f>IF(#REF!="","",#REF!)</f>
        <v>#REF!</v>
      </c>
      <c r="D123" s="17"/>
      <c r="E123" s="17"/>
      <c r="F123" s="5"/>
      <c r="G123" s="1" t="s">
        <v>198</v>
      </c>
      <c r="H123" s="1" t="e">
        <f t="shared" si="6"/>
        <v>#VALUE!</v>
      </c>
      <c r="I123" s="2"/>
      <c r="J123" s="1" t="e">
        <f>#REF!</f>
        <v>#REF!</v>
      </c>
    </row>
    <row r="124" spans="1:10" outlineLevel="2" x14ac:dyDescent="0.15">
      <c r="A124" s="103" t="s">
        <v>74</v>
      </c>
      <c r="B124" s="77"/>
      <c r="C124" s="17" t="e">
        <f>IF(#REF!="","",#REF!)</f>
        <v>#REF!</v>
      </c>
      <c r="D124" s="17"/>
      <c r="E124" s="17"/>
      <c r="F124" s="5"/>
      <c r="G124" s="1" t="s">
        <v>198</v>
      </c>
      <c r="H124" s="1" t="e">
        <f t="shared" si="6"/>
        <v>#VALUE!</v>
      </c>
      <c r="I124" s="2"/>
      <c r="J124" s="1" t="e">
        <f>#REF!</f>
        <v>#REF!</v>
      </c>
    </row>
    <row r="125" spans="1:10" outlineLevel="2" x14ac:dyDescent="0.15">
      <c r="A125" s="76" t="s">
        <v>75</v>
      </c>
      <c r="B125" s="77"/>
      <c r="C125" s="17" t="e">
        <f>IF(#REF!="","",#REF!)</f>
        <v>#REF!</v>
      </c>
      <c r="D125" s="17"/>
      <c r="E125" s="17"/>
      <c r="F125" s="5"/>
      <c r="G125" s="1" t="s">
        <v>198</v>
      </c>
      <c r="H125" s="1" t="e">
        <f t="shared" si="6"/>
        <v>#VALUE!</v>
      </c>
      <c r="I125" s="2"/>
      <c r="J125" s="1" t="e">
        <f>#REF!</f>
        <v>#REF!</v>
      </c>
    </row>
    <row r="126" spans="1:10" outlineLevel="2" x14ac:dyDescent="0.15">
      <c r="A126" s="103" t="s">
        <v>10</v>
      </c>
      <c r="B126" s="77"/>
      <c r="C126" s="17" t="e">
        <f>IF(#REF!="","",#REF!)</f>
        <v>#REF!</v>
      </c>
      <c r="D126" s="17"/>
      <c r="E126" s="17"/>
      <c r="F126" s="5"/>
      <c r="G126" s="1" t="s">
        <v>198</v>
      </c>
      <c r="H126" s="1" t="e">
        <f t="shared" si="6"/>
        <v>#VALUE!</v>
      </c>
      <c r="I126" s="2"/>
      <c r="J126" s="1" t="e">
        <f>#REF!</f>
        <v>#REF!</v>
      </c>
    </row>
    <row r="127" spans="1:10" outlineLevel="2" x14ac:dyDescent="0.15">
      <c r="A127" s="76" t="s">
        <v>76</v>
      </c>
      <c r="B127" s="77"/>
      <c r="C127" s="17" t="e">
        <f>IF(#REF!="","",#REF!)</f>
        <v>#REF!</v>
      </c>
      <c r="D127" s="17"/>
      <c r="E127" s="17"/>
      <c r="F127" s="5"/>
      <c r="G127" s="1" t="s">
        <v>198</v>
      </c>
      <c r="H127" s="1" t="e">
        <f t="shared" si="6"/>
        <v>#VALUE!</v>
      </c>
      <c r="I127" s="2"/>
      <c r="J127" s="1" t="e">
        <f>#REF!</f>
        <v>#REF!</v>
      </c>
    </row>
    <row r="128" spans="1:10" outlineLevel="2" x14ac:dyDescent="0.15">
      <c r="A128" s="76" t="s">
        <v>77</v>
      </c>
      <c r="B128" s="77"/>
      <c r="C128" s="17" t="e">
        <f>IF(#REF!="","",#REF!)</f>
        <v>#REF!</v>
      </c>
      <c r="D128" s="17"/>
      <c r="E128" s="17"/>
      <c r="F128" s="5"/>
      <c r="G128" s="1" t="s">
        <v>198</v>
      </c>
      <c r="H128" s="1" t="e">
        <f t="shared" si="6"/>
        <v>#VALUE!</v>
      </c>
      <c r="I128" s="2"/>
      <c r="J128" s="1" t="e">
        <f>#REF!</f>
        <v>#REF!</v>
      </c>
    </row>
    <row r="129" spans="1:10" outlineLevel="2" x14ac:dyDescent="0.15">
      <c r="A129" s="76" t="s">
        <v>78</v>
      </c>
      <c r="B129" s="77"/>
      <c r="C129" s="17" t="e">
        <f>IF(#REF!="","",#REF!)</f>
        <v>#REF!</v>
      </c>
      <c r="D129" s="17"/>
      <c r="E129" s="17"/>
      <c r="F129" s="5"/>
      <c r="G129" s="1" t="s">
        <v>198</v>
      </c>
      <c r="H129" s="1" t="e">
        <f t="shared" si="6"/>
        <v>#VALUE!</v>
      </c>
      <c r="I129" s="2"/>
      <c r="J129" s="1" t="e">
        <f>#REF!</f>
        <v>#REF!</v>
      </c>
    </row>
    <row r="130" spans="1:10" outlineLevel="2" x14ac:dyDescent="0.15">
      <c r="A130" s="76" t="s">
        <v>79</v>
      </c>
      <c r="B130" s="77"/>
      <c r="C130" s="53" t="e">
        <f>IF(#REF!="","",#REF!)</f>
        <v>#REF!</v>
      </c>
      <c r="D130" s="17"/>
      <c r="E130" s="17"/>
      <c r="F130" s="5"/>
      <c r="G130" s="1" t="s">
        <v>198</v>
      </c>
      <c r="H130" s="1" t="e">
        <f t="shared" si="6"/>
        <v>#VALUE!</v>
      </c>
      <c r="I130" s="2"/>
      <c r="J130" s="1" t="e">
        <f>#REF!</f>
        <v>#REF!</v>
      </c>
    </row>
    <row r="131" spans="1:10" outlineLevel="3" x14ac:dyDescent="0.15">
      <c r="A131" s="83" t="s">
        <v>189</v>
      </c>
      <c r="B131" s="77"/>
      <c r="C131" s="24"/>
      <c r="D131" s="38"/>
      <c r="E131" s="38"/>
      <c r="F131" s="5"/>
      <c r="G131" s="1" t="s">
        <v>199</v>
      </c>
      <c r="H131" s="1" t="str">
        <f>G131</f>
        <v>OH</v>
      </c>
      <c r="I131" s="2"/>
      <c r="J131" s="1" t="e">
        <f>#REF!</f>
        <v>#REF!</v>
      </c>
    </row>
    <row r="132" spans="1:10" s="3" customFormat="1" outlineLevel="2" x14ac:dyDescent="0.15">
      <c r="A132" s="84" t="s">
        <v>162</v>
      </c>
      <c r="B132" s="85"/>
      <c r="C132" s="29" t="e">
        <f>IF(#REF!="","",#REF!)</f>
        <v>#REF!</v>
      </c>
      <c r="D132" s="30"/>
      <c r="E132" s="30"/>
      <c r="F132" s="5"/>
      <c r="G132" s="1" t="s">
        <v>202</v>
      </c>
      <c r="H132" s="3" t="e">
        <f>IF(G132="","",G132*(H$131+1))</f>
        <v>#VALUE!</v>
      </c>
      <c r="I132" s="2"/>
      <c r="J132" s="2" t="e">
        <f>#REF!</f>
        <v>#REF!</v>
      </c>
    </row>
    <row r="133" spans="1:10" s="3" customFormat="1" outlineLevel="1" x14ac:dyDescent="0.15">
      <c r="A133" s="104" t="s">
        <v>80</v>
      </c>
      <c r="B133" s="98"/>
      <c r="C133" s="42" t="e">
        <f>IF(#REF!="","",#REF!)</f>
        <v>#REF!</v>
      </c>
      <c r="D133" s="42"/>
      <c r="E133" s="42"/>
      <c r="F133" s="5"/>
      <c r="G133" s="1" t="s">
        <v>203</v>
      </c>
      <c r="H133" s="3" t="e">
        <f>SUM(H$121:H$130)+H132</f>
        <v>#VALUE!</v>
      </c>
      <c r="I133" s="2"/>
      <c r="J133" s="2" t="e">
        <f>#REF!</f>
        <v>#REF!</v>
      </c>
    </row>
    <row r="134" spans="1:10" s="3" customFormat="1" outlineLevel="1" x14ac:dyDescent="0.15">
      <c r="A134" s="96" t="s">
        <v>107</v>
      </c>
      <c r="B134" s="97"/>
      <c r="C134" s="55"/>
      <c r="D134" s="50"/>
      <c r="E134" s="50"/>
      <c r="F134" s="5"/>
      <c r="G134" s="1" t="s">
        <v>197</v>
      </c>
      <c r="H134" s="3" t="str">
        <f>G134</f>
        <v>H</v>
      </c>
      <c r="I134" s="2" t="s">
        <v>145</v>
      </c>
      <c r="J134" s="1" t="e">
        <f>#REF!</f>
        <v>#REF!</v>
      </c>
    </row>
    <row r="135" spans="1:10" outlineLevel="2" x14ac:dyDescent="0.15">
      <c r="A135" s="83" t="s">
        <v>179</v>
      </c>
      <c r="B135" s="77"/>
      <c r="C135" s="24"/>
      <c r="D135" s="38"/>
      <c r="E135" s="38"/>
      <c r="F135" s="5"/>
      <c r="G135" s="1" t="s">
        <v>197</v>
      </c>
      <c r="H135" s="1" t="str">
        <f>G135</f>
        <v>H</v>
      </c>
      <c r="I135" s="2" t="s">
        <v>145</v>
      </c>
      <c r="J135" s="1" t="e">
        <f>#REF!</f>
        <v>#REF!</v>
      </c>
    </row>
    <row r="136" spans="1:10" outlineLevel="2" x14ac:dyDescent="0.15">
      <c r="A136" s="88" t="s">
        <v>108</v>
      </c>
      <c r="B136" s="89"/>
      <c r="C136" s="12" t="e">
        <f>IF(#REF!="","",#REF!)</f>
        <v>#REF!</v>
      </c>
      <c r="D136" s="12"/>
      <c r="E136" s="12"/>
      <c r="F136" s="5"/>
      <c r="G136" s="1" t="s">
        <v>198</v>
      </c>
      <c r="H136" s="1" t="e">
        <f t="shared" ref="H136:H143" si="7">IF(G136="","",G136*(H$135+1))</f>
        <v>#VALUE!</v>
      </c>
      <c r="I136" s="2" t="s">
        <v>145</v>
      </c>
      <c r="J136" s="1" t="e">
        <f>#REF!</f>
        <v>#REF!</v>
      </c>
    </row>
    <row r="137" spans="1:10" outlineLevel="2" x14ac:dyDescent="0.15">
      <c r="A137" s="88" t="s">
        <v>109</v>
      </c>
      <c r="B137" s="89"/>
      <c r="C137" s="13" t="e">
        <f>IF(#REF!="","",#REF!)</f>
        <v>#REF!</v>
      </c>
      <c r="D137" s="13"/>
      <c r="E137" s="13"/>
      <c r="F137" s="5"/>
      <c r="G137" s="1" t="s">
        <v>198</v>
      </c>
      <c r="H137" s="1" t="e">
        <f t="shared" si="7"/>
        <v>#VALUE!</v>
      </c>
      <c r="I137" s="2" t="s">
        <v>145</v>
      </c>
      <c r="J137" s="1" t="e">
        <f>#REF!</f>
        <v>#REF!</v>
      </c>
    </row>
    <row r="138" spans="1:10" outlineLevel="2" x14ac:dyDescent="0.15">
      <c r="A138" s="88" t="s">
        <v>110</v>
      </c>
      <c r="B138" s="89"/>
      <c r="C138" s="13" t="e">
        <f>IF(#REF!="","",#REF!)</f>
        <v>#REF!</v>
      </c>
      <c r="D138" s="13"/>
      <c r="E138" s="13"/>
      <c r="F138" s="5"/>
      <c r="G138" s="1" t="s">
        <v>198</v>
      </c>
      <c r="H138" s="1" t="e">
        <f t="shared" si="7"/>
        <v>#VALUE!</v>
      </c>
      <c r="I138" s="2" t="s">
        <v>145</v>
      </c>
      <c r="J138" s="1" t="e">
        <f>#REF!</f>
        <v>#REF!</v>
      </c>
    </row>
    <row r="139" spans="1:10" outlineLevel="2" x14ac:dyDescent="0.15">
      <c r="A139" s="88" t="s">
        <v>111</v>
      </c>
      <c r="B139" s="89"/>
      <c r="C139" s="13" t="e">
        <f>IF(#REF!="","",#REF!)</f>
        <v>#REF!</v>
      </c>
      <c r="D139" s="13"/>
      <c r="E139" s="13"/>
      <c r="F139" s="5"/>
      <c r="G139" s="1" t="s">
        <v>198</v>
      </c>
      <c r="H139" s="1" t="e">
        <f t="shared" si="7"/>
        <v>#VALUE!</v>
      </c>
      <c r="I139" s="2" t="s">
        <v>145</v>
      </c>
      <c r="J139" s="1" t="e">
        <f>#REF!</f>
        <v>#REF!</v>
      </c>
    </row>
    <row r="140" spans="1:10" outlineLevel="2" x14ac:dyDescent="0.15">
      <c r="A140" s="88" t="s">
        <v>112</v>
      </c>
      <c r="B140" s="89"/>
      <c r="C140" s="13" t="e">
        <f>IF(#REF!="","",#REF!)</f>
        <v>#REF!</v>
      </c>
      <c r="D140" s="13"/>
      <c r="E140" s="13"/>
      <c r="F140" s="5"/>
      <c r="G140" s="1" t="s">
        <v>198</v>
      </c>
      <c r="H140" s="1" t="e">
        <f t="shared" si="7"/>
        <v>#VALUE!</v>
      </c>
      <c r="I140" s="2" t="s">
        <v>145</v>
      </c>
      <c r="J140" s="1" t="e">
        <f>#REF!</f>
        <v>#REF!</v>
      </c>
    </row>
    <row r="141" spans="1:10" outlineLevel="2" x14ac:dyDescent="0.15">
      <c r="A141" s="105" t="s">
        <v>113</v>
      </c>
      <c r="B141" s="89"/>
      <c r="C141" s="13" t="e">
        <f>IF(#REF!="","",#REF!)</f>
        <v>#REF!</v>
      </c>
      <c r="D141" s="13"/>
      <c r="E141" s="13"/>
      <c r="F141" s="5"/>
      <c r="G141" s="1" t="s">
        <v>198</v>
      </c>
      <c r="H141" s="1" t="e">
        <f t="shared" si="7"/>
        <v>#VALUE!</v>
      </c>
      <c r="I141" s="2" t="s">
        <v>145</v>
      </c>
      <c r="J141" s="1" t="e">
        <f>#REF!</f>
        <v>#REF!</v>
      </c>
    </row>
    <row r="142" spans="1:10" outlineLevel="2" x14ac:dyDescent="0.15">
      <c r="A142" s="105" t="s">
        <v>114</v>
      </c>
      <c r="B142" s="89"/>
      <c r="C142" s="13" t="e">
        <f>IF(#REF!="","",#REF!)</f>
        <v>#REF!</v>
      </c>
      <c r="D142" s="13"/>
      <c r="E142" s="13"/>
      <c r="F142" s="5"/>
      <c r="G142" s="1" t="s">
        <v>198</v>
      </c>
      <c r="H142" s="1" t="e">
        <f t="shared" si="7"/>
        <v>#VALUE!</v>
      </c>
      <c r="I142" s="2" t="s">
        <v>145</v>
      </c>
      <c r="J142" s="1" t="e">
        <f>#REF!</f>
        <v>#REF!</v>
      </c>
    </row>
    <row r="143" spans="1:10" outlineLevel="2" x14ac:dyDescent="0.15">
      <c r="A143" s="88" t="s">
        <v>115</v>
      </c>
      <c r="B143" s="89"/>
      <c r="C143" s="26" t="e">
        <f>IF(#REF!="","",#REF!)</f>
        <v>#REF!</v>
      </c>
      <c r="D143" s="13"/>
      <c r="E143" s="13"/>
      <c r="F143" s="5"/>
      <c r="G143" s="1" t="s">
        <v>198</v>
      </c>
      <c r="H143" s="1" t="e">
        <f t="shared" si="7"/>
        <v>#VALUE!</v>
      </c>
      <c r="I143" s="2" t="s">
        <v>145</v>
      </c>
      <c r="J143" s="1" t="e">
        <f>#REF!</f>
        <v>#REF!</v>
      </c>
    </row>
    <row r="144" spans="1:10" outlineLevel="3" x14ac:dyDescent="0.15">
      <c r="A144" s="90" t="s">
        <v>190</v>
      </c>
      <c r="B144" s="89"/>
      <c r="C144" s="44"/>
      <c r="D144" s="38"/>
      <c r="E144" s="38"/>
      <c r="F144" s="6"/>
      <c r="G144" s="2" t="s">
        <v>199</v>
      </c>
      <c r="H144" s="1" t="str">
        <f>G144</f>
        <v>OH</v>
      </c>
      <c r="I144" s="2" t="s">
        <v>145</v>
      </c>
      <c r="J144" s="1" t="e">
        <f>#REF!</f>
        <v>#REF!</v>
      </c>
    </row>
    <row r="145" spans="1:10" s="3" customFormat="1" outlineLevel="2" x14ac:dyDescent="0.15">
      <c r="A145" s="91" t="s">
        <v>163</v>
      </c>
      <c r="B145" s="92"/>
      <c r="C145" s="29" t="e">
        <f>IF(#REF!="","",#REF!)</f>
        <v>#REF!</v>
      </c>
      <c r="D145" s="30"/>
      <c r="E145" s="30"/>
      <c r="F145" s="6"/>
      <c r="G145" s="2" t="s">
        <v>202</v>
      </c>
      <c r="H145" s="3" t="e">
        <f>IF(G145="","",G145*(H$144+1))</f>
        <v>#VALUE!</v>
      </c>
      <c r="I145" s="2" t="s">
        <v>145</v>
      </c>
      <c r="J145" s="2" t="e">
        <f>#REF!</f>
        <v>#REF!</v>
      </c>
    </row>
    <row r="146" spans="1:10" s="3" customFormat="1" outlineLevel="1" x14ac:dyDescent="0.15">
      <c r="A146" s="84" t="s">
        <v>180</v>
      </c>
      <c r="B146" s="77"/>
      <c r="C146" s="31" t="e">
        <f>IF(#REF!="","",#REF!)</f>
        <v>#REF!</v>
      </c>
      <c r="D146" s="32"/>
      <c r="E146" s="32"/>
      <c r="F146" s="5"/>
      <c r="G146" s="1" t="s">
        <v>201</v>
      </c>
      <c r="H146" s="3" t="e">
        <f>IF(G146="","",G146*(H$135+1))</f>
        <v>#VALUE!</v>
      </c>
      <c r="I146" s="2" t="s">
        <v>145</v>
      </c>
      <c r="J146" s="2" t="e">
        <f>#REF!</f>
        <v>#REF!</v>
      </c>
    </row>
    <row r="147" spans="1:10" s="3" customFormat="1" outlineLevel="2" x14ac:dyDescent="0.15">
      <c r="A147" s="87" t="s">
        <v>116</v>
      </c>
      <c r="B147" s="77"/>
      <c r="C147" s="24"/>
      <c r="D147" s="38"/>
      <c r="E147" s="38"/>
      <c r="F147" s="5"/>
      <c r="G147" s="1" t="s">
        <v>197</v>
      </c>
      <c r="H147" s="3" t="str">
        <f>G147</f>
        <v>H</v>
      </c>
      <c r="I147" s="2" t="s">
        <v>145</v>
      </c>
      <c r="J147" s="1" t="e">
        <f>#REF!</f>
        <v>#REF!</v>
      </c>
    </row>
    <row r="148" spans="1:10" outlineLevel="2" x14ac:dyDescent="0.15">
      <c r="A148" s="88" t="s">
        <v>109</v>
      </c>
      <c r="B148" s="89"/>
      <c r="C148" s="12" t="e">
        <f>IF(#REF!="","",#REF!)</f>
        <v>#REF!</v>
      </c>
      <c r="D148" s="12"/>
      <c r="E148" s="12"/>
      <c r="F148" s="5"/>
      <c r="G148" s="1" t="s">
        <v>198</v>
      </c>
      <c r="H148" s="1" t="e">
        <f t="shared" ref="H148:H156" si="8">IF(G148="","",G148*(H$147+1))</f>
        <v>#VALUE!</v>
      </c>
      <c r="I148" s="2" t="s">
        <v>145</v>
      </c>
      <c r="J148" s="1" t="e">
        <f>#REF!</f>
        <v>#REF!</v>
      </c>
    </row>
    <row r="149" spans="1:10" outlineLevel="2" x14ac:dyDescent="0.15">
      <c r="A149" s="88" t="s">
        <v>117</v>
      </c>
      <c r="B149" s="89"/>
      <c r="C149" s="13" t="e">
        <f>IF(#REF!="","",#REF!)</f>
        <v>#REF!</v>
      </c>
      <c r="D149" s="13"/>
      <c r="E149" s="13"/>
      <c r="F149" s="5"/>
      <c r="G149" s="1" t="s">
        <v>198</v>
      </c>
      <c r="H149" s="1" t="e">
        <f t="shared" si="8"/>
        <v>#VALUE!</v>
      </c>
      <c r="I149" s="2" t="s">
        <v>145</v>
      </c>
      <c r="J149" s="1" t="e">
        <f>#REF!</f>
        <v>#REF!</v>
      </c>
    </row>
    <row r="150" spans="1:10" outlineLevel="2" x14ac:dyDescent="0.15">
      <c r="A150" s="88" t="s">
        <v>118</v>
      </c>
      <c r="B150" s="89"/>
      <c r="C150" s="13" t="e">
        <f>IF(#REF!="","",#REF!)</f>
        <v>#REF!</v>
      </c>
      <c r="D150" s="13"/>
      <c r="E150" s="13"/>
      <c r="F150" s="5"/>
      <c r="G150" s="1" t="s">
        <v>198</v>
      </c>
      <c r="H150" s="1" t="e">
        <f t="shared" si="8"/>
        <v>#VALUE!</v>
      </c>
      <c r="I150" s="2" t="s">
        <v>145</v>
      </c>
      <c r="J150" s="1" t="e">
        <f>#REF!</f>
        <v>#REF!</v>
      </c>
    </row>
    <row r="151" spans="1:10" outlineLevel="2" x14ac:dyDescent="0.15">
      <c r="A151" s="105" t="s">
        <v>119</v>
      </c>
      <c r="B151" s="89"/>
      <c r="C151" s="13" t="e">
        <f>IF(#REF!="","",#REF!)</f>
        <v>#REF!</v>
      </c>
      <c r="D151" s="13"/>
      <c r="E151" s="13"/>
      <c r="F151" s="5"/>
      <c r="G151" s="1" t="s">
        <v>198</v>
      </c>
      <c r="H151" s="1" t="e">
        <f t="shared" si="8"/>
        <v>#VALUE!</v>
      </c>
      <c r="I151" s="2" t="s">
        <v>145</v>
      </c>
      <c r="J151" s="1" t="e">
        <f>#REF!</f>
        <v>#REF!</v>
      </c>
    </row>
    <row r="152" spans="1:10" outlineLevel="2" x14ac:dyDescent="0.15">
      <c r="A152" s="88" t="s">
        <v>120</v>
      </c>
      <c r="B152" s="89"/>
      <c r="C152" s="13" t="e">
        <f>IF(#REF!="","",#REF!)</f>
        <v>#REF!</v>
      </c>
      <c r="D152" s="13"/>
      <c r="E152" s="13"/>
      <c r="F152" s="5"/>
      <c r="G152" s="1" t="s">
        <v>198</v>
      </c>
      <c r="H152" s="1" t="e">
        <f t="shared" si="8"/>
        <v>#VALUE!</v>
      </c>
      <c r="I152" s="2" t="s">
        <v>145</v>
      </c>
      <c r="J152" s="2" t="e">
        <f>#REF!</f>
        <v>#REF!</v>
      </c>
    </row>
    <row r="153" spans="1:10" s="2" customFormat="1" outlineLevel="2" x14ac:dyDescent="0.15">
      <c r="A153" s="88" t="s">
        <v>121</v>
      </c>
      <c r="B153" s="89"/>
      <c r="C153" s="13" t="e">
        <f>IF(#REF!="","",#REF!)</f>
        <v>#REF!</v>
      </c>
      <c r="D153" s="13"/>
      <c r="E153" s="13"/>
      <c r="F153" s="5"/>
      <c r="G153" s="1" t="s">
        <v>198</v>
      </c>
      <c r="H153" s="2" t="e">
        <f t="shared" si="8"/>
        <v>#VALUE!</v>
      </c>
      <c r="I153" s="2" t="s">
        <v>145</v>
      </c>
      <c r="J153" s="2" t="e">
        <f>#REF!</f>
        <v>#REF!</v>
      </c>
    </row>
    <row r="154" spans="1:10" s="2" customFormat="1" outlineLevel="2" x14ac:dyDescent="0.15">
      <c r="A154" s="88" t="s">
        <v>122</v>
      </c>
      <c r="B154" s="89"/>
      <c r="C154" s="13" t="e">
        <f>IF(#REF!="","",#REF!)</f>
        <v>#REF!</v>
      </c>
      <c r="D154" s="13"/>
      <c r="E154" s="13"/>
      <c r="F154" s="5"/>
      <c r="G154" s="1" t="s">
        <v>198</v>
      </c>
      <c r="H154" s="2" t="e">
        <f t="shared" si="8"/>
        <v>#VALUE!</v>
      </c>
      <c r="I154" s="2" t="s">
        <v>145</v>
      </c>
      <c r="J154" s="2" t="e">
        <f>#REF!</f>
        <v>#REF!</v>
      </c>
    </row>
    <row r="155" spans="1:10" s="2" customFormat="1" outlineLevel="2" x14ac:dyDescent="0.15">
      <c r="A155" s="88" t="s">
        <v>115</v>
      </c>
      <c r="B155" s="89"/>
      <c r="C155" s="13" t="e">
        <f>IF(#REF!="","",#REF!)</f>
        <v>#REF!</v>
      </c>
      <c r="D155" s="13"/>
      <c r="E155" s="13"/>
      <c r="F155" s="5"/>
      <c r="G155" s="1" t="s">
        <v>198</v>
      </c>
      <c r="H155" s="2" t="e">
        <f t="shared" si="8"/>
        <v>#VALUE!</v>
      </c>
      <c r="I155" s="2" t="s">
        <v>145</v>
      </c>
      <c r="J155" s="1" t="e">
        <f>#REF!</f>
        <v>#REF!</v>
      </c>
    </row>
    <row r="156" spans="1:10" outlineLevel="2" x14ac:dyDescent="0.15">
      <c r="A156" s="88" t="s">
        <v>123</v>
      </c>
      <c r="B156" s="89"/>
      <c r="C156" s="26" t="e">
        <f>IF(#REF!="","",#REF!)</f>
        <v>#REF!</v>
      </c>
      <c r="D156" s="14"/>
      <c r="E156" s="14"/>
      <c r="F156" s="5"/>
      <c r="G156" s="1" t="s">
        <v>198</v>
      </c>
      <c r="H156" s="1" t="e">
        <f t="shared" si="8"/>
        <v>#VALUE!</v>
      </c>
      <c r="I156" s="2" t="s">
        <v>145</v>
      </c>
      <c r="J156" s="1" t="e">
        <f>#REF!</f>
        <v>#REF!</v>
      </c>
    </row>
    <row r="157" spans="1:10" outlineLevel="3" x14ac:dyDescent="0.15">
      <c r="A157" s="90" t="s">
        <v>191</v>
      </c>
      <c r="B157" s="89"/>
      <c r="C157" s="44"/>
      <c r="D157" s="50"/>
      <c r="E157" s="50"/>
      <c r="F157" s="6"/>
      <c r="G157" s="2" t="s">
        <v>199</v>
      </c>
      <c r="H157" s="1" t="str">
        <f>G157</f>
        <v>OH</v>
      </c>
      <c r="I157" s="2" t="s">
        <v>145</v>
      </c>
      <c r="J157" s="1" t="e">
        <f>#REF!</f>
        <v>#REF!</v>
      </c>
    </row>
    <row r="158" spans="1:10" s="2" customFormat="1" outlineLevel="2" x14ac:dyDescent="0.15">
      <c r="A158" s="91" t="s">
        <v>168</v>
      </c>
      <c r="B158" s="92"/>
      <c r="C158" s="29" t="e">
        <f>IF(#REF!="","",#REF!)</f>
        <v>#REF!</v>
      </c>
      <c r="D158" s="30"/>
      <c r="E158" s="30"/>
      <c r="F158" s="6"/>
      <c r="G158" s="2" t="s">
        <v>202</v>
      </c>
      <c r="H158" s="2" t="e">
        <f>IF(G158="","",G158*(H$157+1))</f>
        <v>#VALUE!</v>
      </c>
      <c r="I158" s="2" t="s">
        <v>145</v>
      </c>
      <c r="J158" s="2" t="e">
        <f>#REF!</f>
        <v>#REF!</v>
      </c>
    </row>
    <row r="159" spans="1:10" s="2" customFormat="1" outlineLevel="1" x14ac:dyDescent="0.15">
      <c r="A159" s="106" t="s">
        <v>124</v>
      </c>
      <c r="B159" s="107"/>
      <c r="C159" s="56" t="e">
        <f>IF(#REF!="","",#REF!)</f>
        <v>#REF!</v>
      </c>
      <c r="D159" s="57"/>
      <c r="E159" s="57"/>
      <c r="F159" s="5"/>
      <c r="G159" s="1" t="s">
        <v>201</v>
      </c>
      <c r="H159" s="2" t="e">
        <f>IF(G159="","",G159*(H$147+1))</f>
        <v>#VALUE!</v>
      </c>
      <c r="I159" s="2" t="s">
        <v>145</v>
      </c>
      <c r="J159" s="2" t="e">
        <f>#REF!</f>
        <v>#REF!</v>
      </c>
    </row>
    <row r="160" spans="1:10" s="2" customFormat="1" outlineLevel="1" x14ac:dyDescent="0.15">
      <c r="A160" s="86" t="s">
        <v>125</v>
      </c>
      <c r="B160" s="79"/>
      <c r="C160" s="56" t="e">
        <f>IF(#REF!="","",#REF!)</f>
        <v>#REF!</v>
      </c>
      <c r="D160" s="57"/>
      <c r="E160" s="57"/>
      <c r="F160" s="5"/>
      <c r="G160" s="1" t="s">
        <v>201</v>
      </c>
      <c r="H160" s="2" t="e">
        <f>IF(G160="","",G160*(H$134+1))</f>
        <v>#VALUE!</v>
      </c>
      <c r="I160" s="2" t="s">
        <v>145</v>
      </c>
      <c r="J160" s="1" t="e">
        <f>#REF!</f>
        <v>#REF!</v>
      </c>
    </row>
    <row r="161" spans="1:10" outlineLevel="2" x14ac:dyDescent="0.15">
      <c r="A161" s="78" t="s">
        <v>81</v>
      </c>
      <c r="B161" s="79"/>
      <c r="C161" s="24"/>
      <c r="D161" s="38"/>
      <c r="E161" s="38"/>
      <c r="F161" s="5"/>
      <c r="G161" s="1" t="s">
        <v>197</v>
      </c>
      <c r="H161" s="1" t="str">
        <f>G161</f>
        <v>H</v>
      </c>
      <c r="I161" s="2"/>
      <c r="J161" s="1" t="e">
        <f>#REF!</f>
        <v>#REF!</v>
      </c>
    </row>
    <row r="162" spans="1:10" outlineLevel="2" x14ac:dyDescent="0.15">
      <c r="A162" s="76" t="s">
        <v>82</v>
      </c>
      <c r="B162" s="77"/>
      <c r="C162" s="12" t="e">
        <f>IF(#REF!="","",#REF!)</f>
        <v>#REF!</v>
      </c>
      <c r="D162" s="12"/>
      <c r="E162" s="12"/>
      <c r="F162" s="5"/>
      <c r="G162" s="1" t="s">
        <v>198</v>
      </c>
      <c r="H162" s="1" t="e">
        <f>IF(G162="","",G162*(H$161+1))</f>
        <v>#VALUE!</v>
      </c>
      <c r="I162" s="2"/>
      <c r="J162" s="1" t="e">
        <f>#REF!</f>
        <v>#REF!</v>
      </c>
    </row>
    <row r="163" spans="1:10" outlineLevel="2" x14ac:dyDescent="0.15">
      <c r="A163" s="76" t="s">
        <v>83</v>
      </c>
      <c r="B163" s="77"/>
      <c r="C163" s="26" t="e">
        <f>IF(#REF!="","",#REF!)</f>
        <v>#REF!</v>
      </c>
      <c r="D163" s="13"/>
      <c r="E163" s="13"/>
      <c r="F163" s="5"/>
      <c r="G163" s="1" t="s">
        <v>198</v>
      </c>
      <c r="H163" s="1" t="e">
        <f>IF(G163="","",G163*(H$161+1))</f>
        <v>#VALUE!</v>
      </c>
      <c r="I163" s="2"/>
      <c r="J163" s="1" t="e">
        <f>#REF!</f>
        <v>#REF!</v>
      </c>
    </row>
    <row r="164" spans="1:10" outlineLevel="3" x14ac:dyDescent="0.15">
      <c r="A164" s="83" t="s">
        <v>192</v>
      </c>
      <c r="B164" s="77"/>
      <c r="C164" s="44"/>
      <c r="D164" s="38"/>
      <c r="E164" s="38"/>
      <c r="F164" s="7"/>
      <c r="G164" s="2" t="s">
        <v>199</v>
      </c>
      <c r="H164" s="1" t="str">
        <f>G164</f>
        <v>OH</v>
      </c>
      <c r="I164" s="2"/>
      <c r="J164" s="1" t="e">
        <f>#REF!</f>
        <v>#REF!</v>
      </c>
    </row>
    <row r="165" spans="1:10" outlineLevel="2" x14ac:dyDescent="0.15">
      <c r="A165" s="84" t="s">
        <v>164</v>
      </c>
      <c r="B165" s="85"/>
      <c r="C165" s="29" t="e">
        <f>IF(#REF!="","",#REF!)</f>
        <v>#REF!</v>
      </c>
      <c r="D165" s="30"/>
      <c r="E165" s="30"/>
      <c r="F165" s="7"/>
      <c r="G165" s="2" t="s">
        <v>202</v>
      </c>
      <c r="H165" s="1" t="e">
        <f>IF(G165="","",G165*(H$164+1))</f>
        <v>#VALUE!</v>
      </c>
      <c r="I165" s="2"/>
      <c r="J165" s="1" t="e">
        <f>#REF!</f>
        <v>#REF!</v>
      </c>
    </row>
    <row r="166" spans="1:10" outlineLevel="1" x14ac:dyDescent="0.15">
      <c r="A166" s="86" t="s">
        <v>84</v>
      </c>
      <c r="B166" s="95"/>
      <c r="C166" s="29" t="e">
        <f>IF(#REF!="","",#REF!)</f>
        <v>#REF!</v>
      </c>
      <c r="D166" s="30"/>
      <c r="E166" s="30"/>
      <c r="F166" s="5"/>
      <c r="G166" s="1" t="s">
        <v>201</v>
      </c>
      <c r="H166" s="1" t="e">
        <f>IF(G166="","",G166*(H$161+1))</f>
        <v>#VALUE!</v>
      </c>
      <c r="I166" s="2"/>
      <c r="J166" s="1" t="e">
        <f>#REF!</f>
        <v>#REF!</v>
      </c>
    </row>
    <row r="167" spans="1:10" outlineLevel="1" x14ac:dyDescent="0.15">
      <c r="A167" s="82" t="s">
        <v>144</v>
      </c>
      <c r="B167" s="79"/>
      <c r="C167" s="8" t="e">
        <f>IF(#REF!="","",#REF!)</f>
        <v>#REF!</v>
      </c>
      <c r="D167" s="8"/>
      <c r="E167" s="8"/>
      <c r="F167" s="5"/>
      <c r="G167" s="1" t="s">
        <v>198</v>
      </c>
      <c r="H167" s="1" t="e">
        <f>IF(G167="","",G167*(H$67+1))</f>
        <v>#VALUE!</v>
      </c>
      <c r="I167" s="2"/>
      <c r="J167" s="1" t="e">
        <f>#REF!</f>
        <v>#REF!</v>
      </c>
    </row>
    <row r="168" spans="1:10" outlineLevel="1" x14ac:dyDescent="0.15">
      <c r="A168" s="82" t="s">
        <v>143</v>
      </c>
      <c r="B168" s="79"/>
      <c r="C168" s="23" t="e">
        <f>IF(#REF!="","",#REF!)</f>
        <v>#REF!</v>
      </c>
      <c r="D168" s="9"/>
      <c r="E168" s="9"/>
      <c r="F168" s="5"/>
      <c r="G168" s="1" t="s">
        <v>198</v>
      </c>
      <c r="H168" s="1" t="e">
        <f>IF(G168="","",G168*(H$67+1))</f>
        <v>#VALUE!</v>
      </c>
      <c r="I168" s="2"/>
      <c r="J168" s="1" t="e">
        <f>#REF!</f>
        <v>#REF!</v>
      </c>
    </row>
    <row r="169" spans="1:10" outlineLevel="2" x14ac:dyDescent="0.15">
      <c r="A169" s="78" t="s">
        <v>193</v>
      </c>
      <c r="B169" s="79"/>
      <c r="C169" s="44"/>
      <c r="D169" s="38"/>
      <c r="E169" s="38"/>
      <c r="F169" s="7"/>
      <c r="G169" s="2" t="s">
        <v>199</v>
      </c>
      <c r="H169" s="1" t="str">
        <f>G169</f>
        <v>OH</v>
      </c>
      <c r="I169" s="2"/>
      <c r="J169" s="2" t="e">
        <f>#REF!</f>
        <v>#REF!</v>
      </c>
    </row>
    <row r="170" spans="1:10" s="2" customFormat="1" outlineLevel="1" x14ac:dyDescent="0.15">
      <c r="A170" s="86" t="s">
        <v>152</v>
      </c>
      <c r="B170" s="95"/>
      <c r="C170" s="29" t="e">
        <f>IF(#REF!="","",#REF!)</f>
        <v>#REF!</v>
      </c>
      <c r="D170" s="30"/>
      <c r="E170" s="30"/>
      <c r="F170" s="7"/>
      <c r="G170" s="2" t="s">
        <v>202</v>
      </c>
      <c r="H170" s="2" t="e">
        <f>IF(G170="","",G170*(H$169+1))</f>
        <v>#VALUE!</v>
      </c>
      <c r="J170" s="2" t="e">
        <f>#REF!</f>
        <v>#REF!</v>
      </c>
    </row>
    <row r="171" spans="1:10" s="2" customFormat="1" x14ac:dyDescent="0.15">
      <c r="A171" s="99" t="s">
        <v>148</v>
      </c>
      <c r="B171" s="100"/>
      <c r="C171" s="58" t="e">
        <f>IF(#REF!="","",#REF!)</f>
        <v>#REF!</v>
      </c>
      <c r="D171" s="58"/>
      <c r="E171" s="58"/>
      <c r="F171" s="5"/>
      <c r="G171" s="1" t="s">
        <v>203</v>
      </c>
      <c r="H171" s="2" t="e">
        <f>SUM(H$73,H$74,H$85,H$94,H$108,H$109,H$119,H$133,H$160,H$166,H$167,H$168,H$170)</f>
        <v>#VALUE!</v>
      </c>
      <c r="J171" s="1" t="e">
        <f>#REF!</f>
        <v>#REF!</v>
      </c>
    </row>
    <row r="172" spans="1:10" outlineLevel="1" x14ac:dyDescent="0.15">
      <c r="A172" s="108" t="s">
        <v>85</v>
      </c>
      <c r="B172" s="100"/>
      <c r="C172" s="24"/>
      <c r="D172" s="38"/>
      <c r="E172" s="38"/>
      <c r="F172" s="5"/>
      <c r="G172" s="1" t="s">
        <v>197</v>
      </c>
      <c r="H172" s="1" t="str">
        <f>G172</f>
        <v>H</v>
      </c>
      <c r="I172" s="2"/>
      <c r="J172" s="1" t="e">
        <f>#REF!</f>
        <v>#REF!</v>
      </c>
    </row>
    <row r="173" spans="1:10" outlineLevel="1" x14ac:dyDescent="0.15">
      <c r="A173" s="82" t="s">
        <v>86</v>
      </c>
      <c r="B173" s="79"/>
      <c r="C173" s="12" t="e">
        <f>IF(#REF!="","",#REF!)</f>
        <v>#REF!</v>
      </c>
      <c r="D173" s="12"/>
      <c r="E173" s="12"/>
      <c r="F173" s="5"/>
      <c r="G173" s="1" t="s">
        <v>198</v>
      </c>
      <c r="H173" s="1" t="e">
        <f t="shared" ref="H173:H180" si="9">IF(G173="","",G173*(H$172+1))</f>
        <v>#VALUE!</v>
      </c>
      <c r="I173" s="2"/>
      <c r="J173" s="1" t="e">
        <f>#REF!</f>
        <v>#REF!</v>
      </c>
    </row>
    <row r="174" spans="1:10" outlineLevel="1" x14ac:dyDescent="0.15">
      <c r="A174" s="82" t="s">
        <v>87</v>
      </c>
      <c r="B174" s="79"/>
      <c r="C174" s="13" t="e">
        <f>IF(#REF!="","",#REF!)</f>
        <v>#REF!</v>
      </c>
      <c r="D174" s="13"/>
      <c r="E174" s="13"/>
      <c r="F174" s="5"/>
      <c r="G174" s="1" t="s">
        <v>198</v>
      </c>
      <c r="H174" s="1" t="e">
        <f t="shared" si="9"/>
        <v>#VALUE!</v>
      </c>
      <c r="I174" s="2"/>
      <c r="J174" s="1" t="e">
        <f>#REF!</f>
        <v>#REF!</v>
      </c>
    </row>
    <row r="175" spans="1:10" outlineLevel="1" x14ac:dyDescent="0.15">
      <c r="A175" s="82" t="s">
        <v>88</v>
      </c>
      <c r="B175" s="79"/>
      <c r="C175" s="13" t="e">
        <f>IF(#REF!="","",#REF!)</f>
        <v>#REF!</v>
      </c>
      <c r="D175" s="13"/>
      <c r="E175" s="13"/>
      <c r="F175" s="5"/>
      <c r="G175" s="1" t="s">
        <v>198</v>
      </c>
      <c r="H175" s="1" t="e">
        <f t="shared" si="9"/>
        <v>#VALUE!</v>
      </c>
      <c r="I175" s="2"/>
      <c r="J175" s="1" t="e">
        <f>#REF!</f>
        <v>#REF!</v>
      </c>
    </row>
    <row r="176" spans="1:10" outlineLevel="1" x14ac:dyDescent="0.15">
      <c r="A176" s="82" t="s">
        <v>89</v>
      </c>
      <c r="B176" s="79"/>
      <c r="C176" s="13" t="e">
        <f>IF(#REF!="","",#REF!)</f>
        <v>#REF!</v>
      </c>
      <c r="D176" s="13"/>
      <c r="E176" s="13"/>
      <c r="F176" s="5"/>
      <c r="G176" s="1" t="s">
        <v>198</v>
      </c>
      <c r="H176" s="1" t="e">
        <f t="shared" si="9"/>
        <v>#VALUE!</v>
      </c>
      <c r="I176" s="2"/>
      <c r="J176" s="1" t="e">
        <f>#REF!</f>
        <v>#REF!</v>
      </c>
    </row>
    <row r="177" spans="1:10" outlineLevel="1" x14ac:dyDescent="0.15">
      <c r="A177" s="82" t="s">
        <v>90</v>
      </c>
      <c r="B177" s="79"/>
      <c r="C177" s="13" t="e">
        <f>IF(#REF!="","",#REF!)</f>
        <v>#REF!</v>
      </c>
      <c r="D177" s="13"/>
      <c r="E177" s="13"/>
      <c r="F177" s="5"/>
      <c r="G177" s="1" t="s">
        <v>198</v>
      </c>
      <c r="H177" s="1" t="e">
        <f t="shared" si="9"/>
        <v>#VALUE!</v>
      </c>
      <c r="I177" s="2"/>
      <c r="J177" s="1" t="e">
        <f>#REF!</f>
        <v>#REF!</v>
      </c>
    </row>
    <row r="178" spans="1:10" outlineLevel="1" x14ac:dyDescent="0.15">
      <c r="A178" s="82" t="s">
        <v>91</v>
      </c>
      <c r="B178" s="79"/>
      <c r="C178" s="13" t="e">
        <f>IF(#REF!="","",#REF!)</f>
        <v>#REF!</v>
      </c>
      <c r="D178" s="13"/>
      <c r="E178" s="13"/>
      <c r="F178" s="5"/>
      <c r="G178" s="1" t="s">
        <v>198</v>
      </c>
      <c r="H178" s="1" t="e">
        <f t="shared" si="9"/>
        <v>#VALUE!</v>
      </c>
      <c r="I178" s="2"/>
      <c r="J178" s="1" t="e">
        <f>#REF!</f>
        <v>#REF!</v>
      </c>
    </row>
    <row r="179" spans="1:10" outlineLevel="1" x14ac:dyDescent="0.15">
      <c r="A179" s="109" t="s">
        <v>92</v>
      </c>
      <c r="B179" s="79"/>
      <c r="C179" s="13" t="e">
        <f>IF(#REF!="","",#REF!)</f>
        <v>#REF!</v>
      </c>
      <c r="D179" s="13"/>
      <c r="E179" s="13"/>
      <c r="F179" s="5"/>
      <c r="G179" s="1" t="s">
        <v>198</v>
      </c>
      <c r="H179" s="1" t="e">
        <f t="shared" si="9"/>
        <v>#VALUE!</v>
      </c>
      <c r="I179" s="2"/>
      <c r="J179" s="1" t="e">
        <f>#REF!</f>
        <v>#REF!</v>
      </c>
    </row>
    <row r="180" spans="1:10" outlineLevel="1" x14ac:dyDescent="0.15">
      <c r="A180" s="82" t="s">
        <v>93</v>
      </c>
      <c r="B180" s="79"/>
      <c r="C180" s="26" t="e">
        <f>IF(#REF!="","",#REF!)</f>
        <v>#REF!</v>
      </c>
      <c r="D180" s="13"/>
      <c r="E180" s="13"/>
      <c r="F180" s="5"/>
      <c r="G180" s="1" t="s">
        <v>198</v>
      </c>
      <c r="H180" s="1" t="e">
        <f t="shared" si="9"/>
        <v>#VALUE!</v>
      </c>
      <c r="I180" s="2"/>
      <c r="J180" s="1" t="e">
        <f>#REF!</f>
        <v>#REF!</v>
      </c>
    </row>
    <row r="181" spans="1:10" outlineLevel="2" x14ac:dyDescent="0.15">
      <c r="A181" s="78" t="s">
        <v>194</v>
      </c>
      <c r="B181" s="79"/>
      <c r="C181" s="44"/>
      <c r="D181" s="38"/>
      <c r="E181" s="38"/>
      <c r="F181" s="7"/>
      <c r="G181" s="2" t="s">
        <v>199</v>
      </c>
      <c r="H181" s="1" t="str">
        <f>G181</f>
        <v>OH</v>
      </c>
      <c r="I181" s="2"/>
      <c r="J181" s="1" t="e">
        <f>#REF!</f>
        <v>#REF!</v>
      </c>
    </row>
    <row r="182" spans="1:10" outlineLevel="1" x14ac:dyDescent="0.15">
      <c r="A182" s="86" t="s">
        <v>165</v>
      </c>
      <c r="B182" s="95"/>
      <c r="C182" s="29" t="e">
        <f>IF(#REF!="","",#REF!)</f>
        <v>#REF!</v>
      </c>
      <c r="D182" s="30"/>
      <c r="E182" s="30"/>
      <c r="F182" s="7"/>
      <c r="G182" s="2" t="s">
        <v>202</v>
      </c>
      <c r="H182" s="1" t="e">
        <f>IF(G182="","",G182*(H$181+1))</f>
        <v>#VALUE!</v>
      </c>
      <c r="I182" s="2"/>
      <c r="J182" s="1" t="e">
        <f>#REF!</f>
        <v>#REF!</v>
      </c>
    </row>
    <row r="183" spans="1:10" x14ac:dyDescent="0.15">
      <c r="A183" s="99" t="s">
        <v>94</v>
      </c>
      <c r="B183" s="110"/>
      <c r="C183" s="29" t="e">
        <f>IF(#REF!="","",#REF!)</f>
        <v>#REF!</v>
      </c>
      <c r="D183" s="30"/>
      <c r="E183" s="30"/>
      <c r="F183" s="5"/>
      <c r="G183" s="1" t="s">
        <v>201</v>
      </c>
      <c r="H183" s="1" t="e">
        <f>IF(G183="","",G183*(H$172+1))</f>
        <v>#VALUE!</v>
      </c>
      <c r="I183" s="2"/>
      <c r="J183" s="1" t="e">
        <f>#REF!</f>
        <v>#REF!</v>
      </c>
    </row>
    <row r="184" spans="1:10" x14ac:dyDescent="0.15">
      <c r="A184" s="99" t="s">
        <v>149</v>
      </c>
      <c r="B184" s="110"/>
      <c r="C184" s="58" t="e">
        <f>IF(#REF!="","",#REF!)</f>
        <v>#REF!</v>
      </c>
      <c r="D184" s="58"/>
      <c r="E184" s="58"/>
      <c r="F184" s="5"/>
      <c r="G184" s="1" t="s">
        <v>203</v>
      </c>
      <c r="H184" s="1" t="e">
        <f>H$171+H$183</f>
        <v>#VALUE!</v>
      </c>
      <c r="I184" s="2"/>
      <c r="J184" s="1" t="e">
        <f>#REF!</f>
        <v>#REF!</v>
      </c>
    </row>
    <row r="185" spans="1:10" x14ac:dyDescent="0.15">
      <c r="A185" s="99" t="s">
        <v>95</v>
      </c>
      <c r="B185" s="110"/>
      <c r="C185" s="59" t="e">
        <f>IF(#REF!="","",#REF!)</f>
        <v>#REF!</v>
      </c>
      <c r="D185" s="60"/>
      <c r="E185" s="60"/>
      <c r="F185" s="5"/>
      <c r="G185" s="1" t="s">
        <v>203</v>
      </c>
      <c r="H185" s="1" t="e">
        <f>H$66-H$184</f>
        <v>#REF!</v>
      </c>
      <c r="I185" s="2"/>
      <c r="J185" s="2" t="e">
        <f>#REF!</f>
        <v>#REF!</v>
      </c>
    </row>
    <row r="186" spans="1:10" s="2" customFormat="1" x14ac:dyDescent="0.15">
      <c r="A186" s="111" t="s">
        <v>96</v>
      </c>
      <c r="B186" s="100"/>
      <c r="C186" s="23" t="e">
        <f>IF(#REF!="","",#REF!)</f>
        <v>#REF!</v>
      </c>
      <c r="D186" s="9"/>
      <c r="E186" s="9"/>
      <c r="F186" s="5"/>
      <c r="G186" s="1" t="s">
        <v>198</v>
      </c>
      <c r="H186" s="2" t="e">
        <f>IF(G186="","",G186*(H$181+1))</f>
        <v>#VALUE!</v>
      </c>
      <c r="J186" s="2" t="e">
        <f>#REF!</f>
        <v>#REF!</v>
      </c>
    </row>
    <row r="187" spans="1:10" s="2" customFormat="1" x14ac:dyDescent="0.15">
      <c r="A187" s="112" t="s">
        <v>150</v>
      </c>
      <c r="B187" s="113"/>
      <c r="C187" s="58" t="e">
        <f>IF(#REF!="","",#REF!)</f>
        <v>#REF!</v>
      </c>
      <c r="D187" s="58"/>
      <c r="E187" s="58"/>
      <c r="F187" s="5"/>
      <c r="G187" s="1" t="s">
        <v>203</v>
      </c>
      <c r="H187" s="2" t="e">
        <f>H$185-H$186</f>
        <v>#REF!</v>
      </c>
      <c r="J187" s="2" t="e">
        <f>#REF!</f>
        <v>#REF!</v>
      </c>
    </row>
    <row r="188" spans="1:10" s="2" customFormat="1" outlineLevel="1" x14ac:dyDescent="0.15">
      <c r="A188" s="108" t="s">
        <v>97</v>
      </c>
      <c r="B188" s="100"/>
      <c r="C188" s="19"/>
      <c r="D188" s="50"/>
      <c r="E188" s="50"/>
      <c r="F188" s="5"/>
      <c r="G188" s="1" t="s">
        <v>197</v>
      </c>
      <c r="H188" s="2" t="str">
        <f>G188</f>
        <v>H</v>
      </c>
      <c r="J188" s="1" t="e">
        <f>#REF!</f>
        <v>#REF!</v>
      </c>
    </row>
    <row r="189" spans="1:10" outlineLevel="1" x14ac:dyDescent="0.15">
      <c r="A189" s="109" t="s">
        <v>98</v>
      </c>
      <c r="B189" s="79"/>
      <c r="C189" s="60" t="e">
        <f>IF(#REF!="","",#REF!)</f>
        <v>#REF!</v>
      </c>
      <c r="D189" s="60"/>
      <c r="E189" s="60"/>
      <c r="F189" s="5"/>
      <c r="G189" s="1" t="s">
        <v>203</v>
      </c>
      <c r="H189" s="1" t="e">
        <f>IF(G189="","",G189*(H$188+1))</f>
        <v>#VALUE!</v>
      </c>
      <c r="I189" s="2"/>
      <c r="J189" s="1" t="e">
        <f>#REF!</f>
        <v>#REF!</v>
      </c>
    </row>
    <row r="190" spans="1:10" outlineLevel="1" x14ac:dyDescent="0.15">
      <c r="A190" s="109" t="s">
        <v>99</v>
      </c>
      <c r="B190" s="79"/>
      <c r="C190" s="60" t="e">
        <f>IF(#REF!="","",#REF!)</f>
        <v>#REF!</v>
      </c>
      <c r="D190" s="60"/>
      <c r="E190" s="60"/>
      <c r="F190" s="5"/>
      <c r="G190" s="1" t="s">
        <v>203</v>
      </c>
      <c r="H190" s="1" t="e">
        <f>IF(G190="","",G190*(H$188+1))</f>
        <v>#VALUE!</v>
      </c>
      <c r="I190" s="2"/>
      <c r="J190" s="1" t="e">
        <f>#REF!</f>
        <v>#REF!</v>
      </c>
    </row>
    <row r="191" spans="1:10" outlineLevel="1" x14ac:dyDescent="0.15">
      <c r="A191" s="82" t="s">
        <v>100</v>
      </c>
      <c r="B191" s="79"/>
      <c r="C191" s="60" t="e">
        <f>IF(#REF!="","",#REF!)</f>
        <v>#REF!</v>
      </c>
      <c r="D191" s="60"/>
      <c r="E191" s="60"/>
      <c r="F191" s="5"/>
      <c r="G191" s="1" t="s">
        <v>203</v>
      </c>
      <c r="H191" s="1" t="e">
        <f>IF(G191="","",G191*(H$188+1))</f>
        <v>#VALUE!</v>
      </c>
      <c r="I191" s="2"/>
      <c r="J191" s="1" t="e">
        <f>#REF!</f>
        <v>#REF!</v>
      </c>
    </row>
    <row r="192" spans="1:10" outlineLevel="1" x14ac:dyDescent="0.15">
      <c r="A192" s="82" t="s">
        <v>100</v>
      </c>
      <c r="B192" s="79"/>
      <c r="C192" s="60" t="e">
        <f>IF(#REF!="","",#REF!)</f>
        <v>#REF!</v>
      </c>
      <c r="D192" s="60"/>
      <c r="E192" s="60"/>
      <c r="F192" s="5"/>
      <c r="G192" s="1" t="s">
        <v>203</v>
      </c>
      <c r="H192" s="1" t="e">
        <f>IF(G192="","",G192*(H$188+1))</f>
        <v>#VALUE!</v>
      </c>
      <c r="I192" s="2"/>
      <c r="J192" s="1" t="e">
        <f>#REF!</f>
        <v>#REF!</v>
      </c>
    </row>
    <row r="193" spans="1:10" outlineLevel="1" x14ac:dyDescent="0.15">
      <c r="A193" s="82" t="s">
        <v>196</v>
      </c>
      <c r="B193" s="79"/>
      <c r="C193" s="60" t="e">
        <f>IF(#REF!="","",#REF!)</f>
        <v>#REF!</v>
      </c>
      <c r="D193" s="60"/>
      <c r="E193" s="60"/>
      <c r="F193" s="5"/>
      <c r="G193" s="1" t="s">
        <v>203</v>
      </c>
      <c r="H193" s="1" t="e">
        <f>IF(G193="","",G193*(H$188+1))</f>
        <v>#VALUE!</v>
      </c>
      <c r="I193" s="2"/>
      <c r="J193" s="1" t="e">
        <f>#REF!</f>
        <v>#REF!</v>
      </c>
    </row>
    <row r="194" spans="1:10" x14ac:dyDescent="0.15">
      <c r="A194" s="99" t="s">
        <v>101</v>
      </c>
      <c r="B194" s="110"/>
      <c r="C194" s="61" t="e">
        <f>IF(#REF!="","",#REF!)</f>
        <v>#REF!</v>
      </c>
      <c r="D194" s="61"/>
      <c r="E194" s="61"/>
      <c r="F194" s="5"/>
      <c r="G194" s="1" t="s">
        <v>203</v>
      </c>
      <c r="H194" s="1" t="e">
        <f>SUM(H189:H193)</f>
        <v>#VALUE!</v>
      </c>
      <c r="I194" s="2"/>
      <c r="J194" s="1" t="e">
        <f>#REF!</f>
        <v>#REF!</v>
      </c>
    </row>
    <row r="195" spans="1:10" x14ac:dyDescent="0.15">
      <c r="A195" s="99" t="s">
        <v>166</v>
      </c>
      <c r="B195" s="100"/>
      <c r="C195" s="60" t="e">
        <f>IF(#REF!="","",#REF!)</f>
        <v>#REF!</v>
      </c>
      <c r="D195" s="60"/>
      <c r="E195" s="60"/>
      <c r="F195" s="5"/>
      <c r="G195" s="1" t="s">
        <v>203</v>
      </c>
      <c r="H195" s="1" t="e">
        <f>SUM(H187,-H194)</f>
        <v>#VALUE!</v>
      </c>
      <c r="I195" s="2"/>
      <c r="J195" s="1" t="e">
        <f>#REF!</f>
        <v>#REF!</v>
      </c>
    </row>
    <row r="196" spans="1:10" outlineLevel="1" x14ac:dyDescent="0.15">
      <c r="A196" s="108" t="s">
        <v>102</v>
      </c>
      <c r="B196" s="100"/>
      <c r="C196" s="24"/>
      <c r="D196" s="38"/>
      <c r="E196" s="38"/>
      <c r="F196" s="5"/>
      <c r="G196" s="1" t="s">
        <v>197</v>
      </c>
      <c r="H196" s="1" t="str">
        <f>G196</f>
        <v>H</v>
      </c>
      <c r="I196" s="2"/>
      <c r="J196" s="1" t="e">
        <f>#REF!</f>
        <v>#REF!</v>
      </c>
    </row>
    <row r="197" spans="1:10" outlineLevel="1" x14ac:dyDescent="0.15">
      <c r="A197" s="82" t="s">
        <v>103</v>
      </c>
      <c r="B197" s="79"/>
      <c r="C197" s="26" t="e">
        <f>IF(#REF!="","",#REF!)</f>
        <v>#REF!</v>
      </c>
      <c r="D197" s="13"/>
      <c r="E197" s="13"/>
      <c r="F197" s="5"/>
      <c r="G197" s="1" t="s">
        <v>198</v>
      </c>
      <c r="H197" s="1" t="e">
        <f>IF(G197="","",G197*(H$196+1))</f>
        <v>#VALUE!</v>
      </c>
      <c r="I197" s="2"/>
      <c r="J197" s="1" t="e">
        <f>#REF!</f>
        <v>#REF!</v>
      </c>
    </row>
    <row r="198" spans="1:10" outlineLevel="2" x14ac:dyDescent="0.15">
      <c r="A198" s="78" t="s">
        <v>195</v>
      </c>
      <c r="B198" s="79"/>
      <c r="C198" s="44"/>
      <c r="D198" s="38"/>
      <c r="E198" s="38"/>
      <c r="F198" s="7"/>
      <c r="G198" s="2" t="s">
        <v>199</v>
      </c>
      <c r="H198" s="1" t="str">
        <f>G198</f>
        <v>OH</v>
      </c>
      <c r="I198" s="2"/>
      <c r="J198" s="1" t="e">
        <f>#REF!</f>
        <v>#REF!</v>
      </c>
    </row>
    <row r="199" spans="1:10" outlineLevel="1" x14ac:dyDescent="0.15">
      <c r="A199" s="86" t="s">
        <v>167</v>
      </c>
      <c r="B199" s="95"/>
      <c r="C199" s="29" t="e">
        <f>IF(#REF!="","",#REF!)</f>
        <v>#REF!</v>
      </c>
      <c r="D199" s="30"/>
      <c r="E199" s="30"/>
      <c r="F199" s="7"/>
      <c r="G199" s="2" t="s">
        <v>202</v>
      </c>
      <c r="H199" s="1">
        <f>SUM($C$198:$C$198)</f>
        <v>0</v>
      </c>
      <c r="I199" s="2"/>
      <c r="J199" s="1" t="e">
        <f>#REF!</f>
        <v>#REF!</v>
      </c>
    </row>
    <row r="200" spans="1:10" x14ac:dyDescent="0.15">
      <c r="A200" s="116" t="s">
        <v>104</v>
      </c>
      <c r="B200" s="117"/>
      <c r="C200" s="29" t="e">
        <f>IF(#REF!="","",#REF!)</f>
        <v>#REF!</v>
      </c>
      <c r="D200" s="30"/>
      <c r="E200" s="30"/>
      <c r="F200" s="5"/>
      <c r="G200" s="1" t="s">
        <v>201</v>
      </c>
      <c r="H200" s="1" t="e">
        <f>$C$197+$C$199</f>
        <v>#REF!</v>
      </c>
      <c r="I200" s="2"/>
      <c r="J200" s="1" t="e">
        <f>#REF!</f>
        <v>#REF!</v>
      </c>
    </row>
    <row r="201" spans="1:10" x14ac:dyDescent="0.15">
      <c r="A201" s="99" t="s">
        <v>151</v>
      </c>
      <c r="B201" s="110"/>
      <c r="C201" s="59" t="e">
        <f>IF(#REF!="","",#REF!)</f>
        <v>#REF!</v>
      </c>
      <c r="D201" s="60"/>
      <c r="E201" s="60"/>
      <c r="F201" s="5"/>
      <c r="G201" s="1" t="s">
        <v>203</v>
      </c>
      <c r="H201" s="1" t="e">
        <f>H$195-H$200</f>
        <v>#VALUE!</v>
      </c>
      <c r="I201" s="2"/>
      <c r="J201" s="1" t="e">
        <f>#REF!</f>
        <v>#REF!</v>
      </c>
    </row>
    <row r="202" spans="1:10" x14ac:dyDescent="0.15">
      <c r="A202" s="111"/>
      <c r="B202" s="100"/>
      <c r="C202" s="62"/>
      <c r="D202" s="63"/>
      <c r="E202" s="63"/>
      <c r="F202" s="5"/>
      <c r="J202" s="1" t="e">
        <f>#REF!</f>
        <v>#REF!</v>
      </c>
    </row>
    <row r="203" spans="1:10" x14ac:dyDescent="0.15">
      <c r="A203" s="118" t="s">
        <v>105</v>
      </c>
      <c r="B203" s="100"/>
      <c r="C203" s="58" t="e">
        <f>IF(#REF!="","",#REF!)</f>
        <v>#REF!</v>
      </c>
      <c r="D203" s="58"/>
      <c r="E203" s="58"/>
      <c r="F203" s="5"/>
      <c r="H203" s="1" t="e">
        <f>H$187/H$189</f>
        <v>#REF!</v>
      </c>
      <c r="J203" s="1" t="e">
        <f>#REF!</f>
        <v>#REF!</v>
      </c>
    </row>
    <row r="204" spans="1:10" x14ac:dyDescent="0.15">
      <c r="A204" s="114" t="s">
        <v>106</v>
      </c>
      <c r="B204" s="115"/>
      <c r="C204" s="64" t="e">
        <f>IF(#REF!="","",#REF!)</f>
        <v>#REF!</v>
      </c>
      <c r="D204" s="64"/>
      <c r="E204" s="64"/>
      <c r="F204" s="5"/>
      <c r="H204" s="1" t="e">
        <f>H$187/H$194</f>
        <v>#REF!</v>
      </c>
      <c r="J204" s="1" t="e">
        <f>#REF!</f>
        <v>#REF!</v>
      </c>
    </row>
    <row r="205" spans="1:10" x14ac:dyDescent="0.15">
      <c r="J205" s="1" t="e">
        <f>#REF!</f>
        <v>#REF!</v>
      </c>
    </row>
    <row r="206" spans="1:10" x14ac:dyDescent="0.15">
      <c r="J206" s="1" t="e">
        <f>#REF!</f>
        <v>#REF!</v>
      </c>
    </row>
    <row r="207" spans="1:10" x14ac:dyDescent="0.15">
      <c r="J207" s="1" t="e">
        <f>#REF!</f>
        <v>#REF!</v>
      </c>
    </row>
    <row r="208" spans="1:10" x14ac:dyDescent="0.15">
      <c r="J208" s="1" t="e">
        <f>#REF!</f>
        <v>#REF!</v>
      </c>
    </row>
    <row r="209" spans="10:10" x14ac:dyDescent="0.15">
      <c r="J209" s="1" t="e">
        <f>#REF!</f>
        <v>#REF!</v>
      </c>
    </row>
    <row r="210" spans="10:10" x14ac:dyDescent="0.15">
      <c r="J210" s="1" t="e">
        <f>#REF!</f>
        <v>#REF!</v>
      </c>
    </row>
    <row r="211" spans="10:10" x14ac:dyDescent="0.15">
      <c r="J211" s="1" t="e">
        <f>#REF!</f>
        <v>#REF!</v>
      </c>
    </row>
    <row r="212" spans="10:10" x14ac:dyDescent="0.15">
      <c r="J212" s="1" t="e">
        <f>#REF!</f>
        <v>#REF!</v>
      </c>
    </row>
    <row r="213" spans="10:10" x14ac:dyDescent="0.15">
      <c r="J213" s="1" t="e">
        <f>#REF!</f>
        <v>#REF!</v>
      </c>
    </row>
    <row r="214" spans="10:10" x14ac:dyDescent="0.15">
      <c r="J214" s="1" t="e">
        <f>#REF!</f>
        <v>#REF!</v>
      </c>
    </row>
    <row r="215" spans="10:10" x14ac:dyDescent="0.15">
      <c r="J215" s="1" t="e">
        <f>#REF!</f>
        <v>#REF!</v>
      </c>
    </row>
    <row r="216" spans="10:10" x14ac:dyDescent="0.15">
      <c r="J216" s="1" t="e">
        <f>#REF!</f>
        <v>#REF!</v>
      </c>
    </row>
    <row r="217" spans="10:10" x14ac:dyDescent="0.15">
      <c r="J217" s="1" t="e">
        <f>#REF!</f>
        <v>#REF!</v>
      </c>
    </row>
    <row r="218" spans="10:10" x14ac:dyDescent="0.15">
      <c r="J218" s="1" t="e">
        <f>#REF!</f>
        <v>#REF!</v>
      </c>
    </row>
    <row r="219" spans="10:10" x14ac:dyDescent="0.15">
      <c r="J219" s="1" t="e">
        <f>#REF!</f>
        <v>#REF!</v>
      </c>
    </row>
    <row r="220" spans="10:10" x14ac:dyDescent="0.15">
      <c r="J220" s="1" t="e">
        <f>#REF!</f>
        <v>#REF!</v>
      </c>
    </row>
    <row r="221" spans="10:10" x14ac:dyDescent="0.15">
      <c r="J221" s="1" t="e">
        <f>#REF!</f>
        <v>#REF!</v>
      </c>
    </row>
    <row r="222" spans="10:10" x14ac:dyDescent="0.15">
      <c r="J222" s="1" t="e">
        <f>#REF!</f>
        <v>#REF!</v>
      </c>
    </row>
    <row r="223" spans="10:10" x14ac:dyDescent="0.15">
      <c r="J223" s="1" t="e">
        <f>#REF!</f>
        <v>#REF!</v>
      </c>
    </row>
    <row r="224" spans="10:10" x14ac:dyDescent="0.15">
      <c r="J224" s="1" t="e">
        <f>#REF!</f>
        <v>#REF!</v>
      </c>
    </row>
    <row r="225" spans="10:10" x14ac:dyDescent="0.15">
      <c r="J225" s="1" t="e">
        <f>#REF!</f>
        <v>#REF!</v>
      </c>
    </row>
    <row r="226" spans="10:10" x14ac:dyDescent="0.15">
      <c r="J226" s="1" t="e">
        <f>#REF!</f>
        <v>#REF!</v>
      </c>
    </row>
    <row r="227" spans="10:10" x14ac:dyDescent="0.15">
      <c r="J227" s="1" t="e">
        <f>#REF!</f>
        <v>#REF!</v>
      </c>
    </row>
    <row r="228" spans="10:10" x14ac:dyDescent="0.15">
      <c r="J228" s="1" t="e">
        <f>#REF!</f>
        <v>#REF!</v>
      </c>
    </row>
    <row r="229" spans="10:10" x14ac:dyDescent="0.15">
      <c r="J229" s="1" t="e">
        <f>#REF!</f>
        <v>#REF!</v>
      </c>
    </row>
    <row r="230" spans="10:10" x14ac:dyDescent="0.15">
      <c r="J230" s="1" t="e">
        <f>#REF!</f>
        <v>#REF!</v>
      </c>
    </row>
    <row r="231" spans="10:10" x14ac:dyDescent="0.15">
      <c r="J231" s="1" t="e">
        <f>#REF!</f>
        <v>#REF!</v>
      </c>
    </row>
    <row r="232" spans="10:10" x14ac:dyDescent="0.15">
      <c r="J232" s="1" t="e">
        <f>#REF!</f>
        <v>#REF!</v>
      </c>
    </row>
    <row r="233" spans="10:10" x14ac:dyDescent="0.15">
      <c r="J233" s="1" t="e">
        <f>#REF!</f>
        <v>#REF!</v>
      </c>
    </row>
    <row r="234" spans="10:10" x14ac:dyDescent="0.15">
      <c r="J234" s="1" t="e">
        <f>#REF!</f>
        <v>#REF!</v>
      </c>
    </row>
    <row r="235" spans="10:10" x14ac:dyDescent="0.15">
      <c r="J235" s="1" t="e">
        <f>#REF!</f>
        <v>#REF!</v>
      </c>
    </row>
    <row r="236" spans="10:10" x14ac:dyDescent="0.15">
      <c r="J236" s="1" t="e">
        <f>#REF!</f>
        <v>#REF!</v>
      </c>
    </row>
    <row r="237" spans="10:10" x14ac:dyDescent="0.15">
      <c r="J237" s="1" t="e">
        <f>#REF!</f>
        <v>#REF!</v>
      </c>
    </row>
  </sheetData>
  <mergeCells count="203">
    <mergeCell ref="A204:B204"/>
    <mergeCell ref="A200:B200"/>
    <mergeCell ref="A201:B201"/>
    <mergeCell ref="A202:B202"/>
    <mergeCell ref="A203:B203"/>
    <mergeCell ref="A198:B198"/>
    <mergeCell ref="A199:B199"/>
    <mergeCell ref="A194:B194"/>
    <mergeCell ref="A195:B195"/>
    <mergeCell ref="A196:B196"/>
    <mergeCell ref="A197:B197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2:B172"/>
    <mergeCell ref="A173:B173"/>
    <mergeCell ref="A174:B174"/>
    <mergeCell ref="A175:B175"/>
    <mergeCell ref="A180:B180"/>
    <mergeCell ref="A181:B181"/>
    <mergeCell ref="A176:B176"/>
    <mergeCell ref="A177:B177"/>
    <mergeCell ref="A178:B178"/>
    <mergeCell ref="A179:B179"/>
    <mergeCell ref="A170:B170"/>
    <mergeCell ref="A171:B171"/>
    <mergeCell ref="A166:B166"/>
    <mergeCell ref="A167:B167"/>
    <mergeCell ref="A168:B168"/>
    <mergeCell ref="A169:B169"/>
    <mergeCell ref="A164:B164"/>
    <mergeCell ref="A165:B165"/>
    <mergeCell ref="A160:B160"/>
    <mergeCell ref="A161:B161"/>
    <mergeCell ref="A162:B162"/>
    <mergeCell ref="A163:B163"/>
    <mergeCell ref="A152:B152"/>
    <mergeCell ref="A153:B153"/>
    <mergeCell ref="A158:B158"/>
    <mergeCell ref="A159:B159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38:B138"/>
    <mergeCell ref="A139:B139"/>
    <mergeCell ref="A144:B144"/>
    <mergeCell ref="A145:B145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4:B124"/>
    <mergeCell ref="A125:B125"/>
    <mergeCell ref="A130:B130"/>
    <mergeCell ref="A131:B131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08:B108"/>
    <mergeCell ref="A109:B109"/>
    <mergeCell ref="A110:B110"/>
    <mergeCell ref="A111:B111"/>
    <mergeCell ref="A116:B116"/>
    <mergeCell ref="A117:B117"/>
    <mergeCell ref="A112:B112"/>
    <mergeCell ref="A113:B113"/>
    <mergeCell ref="A114:B114"/>
    <mergeCell ref="A115:B115"/>
    <mergeCell ref="A100:B100"/>
    <mergeCell ref="A101:B101"/>
    <mergeCell ref="A106:B106"/>
    <mergeCell ref="A107:B107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4:B84"/>
    <mergeCell ref="A85:B85"/>
    <mergeCell ref="A86:B86"/>
    <mergeCell ref="A87:B87"/>
    <mergeCell ref="A92:B92"/>
    <mergeCell ref="A93:B93"/>
    <mergeCell ref="A88:B88"/>
    <mergeCell ref="A89:B89"/>
    <mergeCell ref="A90:B90"/>
    <mergeCell ref="A91:B91"/>
    <mergeCell ref="A75:B75"/>
    <mergeCell ref="A76:B76"/>
    <mergeCell ref="A77:B77"/>
    <mergeCell ref="A82:B82"/>
    <mergeCell ref="A83:B83"/>
    <mergeCell ref="A78:B78"/>
    <mergeCell ref="A79:B79"/>
    <mergeCell ref="A80:B80"/>
    <mergeCell ref="A81:B81"/>
    <mergeCell ref="A73:B73"/>
    <mergeCell ref="A68:B68"/>
    <mergeCell ref="A69:B69"/>
    <mergeCell ref="A70:B70"/>
    <mergeCell ref="A71:B71"/>
    <mergeCell ref="A74:B74"/>
    <mergeCell ref="A63:B63"/>
    <mergeCell ref="A64:B64"/>
    <mergeCell ref="A65:B65"/>
    <mergeCell ref="A66:B66"/>
    <mergeCell ref="A67:B67"/>
    <mergeCell ref="A72:B72"/>
    <mergeCell ref="A57:B57"/>
    <mergeCell ref="A58:B58"/>
    <mergeCell ref="A59:B59"/>
    <mergeCell ref="A60:B60"/>
    <mergeCell ref="A61:B61"/>
    <mergeCell ref="A62:B62"/>
    <mergeCell ref="A55:B55"/>
    <mergeCell ref="A50:B50"/>
    <mergeCell ref="A51:B51"/>
    <mergeCell ref="A52:B52"/>
    <mergeCell ref="A53:B53"/>
    <mergeCell ref="A56:B56"/>
    <mergeCell ref="A45:B45"/>
    <mergeCell ref="A46:B46"/>
    <mergeCell ref="A47:B47"/>
    <mergeCell ref="A48:B48"/>
    <mergeCell ref="A49:B49"/>
    <mergeCell ref="A54:B54"/>
    <mergeCell ref="A39:B39"/>
    <mergeCell ref="A40:B40"/>
    <mergeCell ref="A41:B41"/>
    <mergeCell ref="A42:B42"/>
    <mergeCell ref="A43:B43"/>
    <mergeCell ref="A44:B44"/>
    <mergeCell ref="A37:B37"/>
    <mergeCell ref="A32:B32"/>
    <mergeCell ref="A33:B33"/>
    <mergeCell ref="A34:B34"/>
    <mergeCell ref="A35:B35"/>
    <mergeCell ref="A38:B38"/>
    <mergeCell ref="A27:B27"/>
    <mergeCell ref="A28:B28"/>
    <mergeCell ref="A29:B29"/>
    <mergeCell ref="A30:B30"/>
    <mergeCell ref="A31:B31"/>
    <mergeCell ref="A36:B36"/>
    <mergeCell ref="A21:B21"/>
    <mergeCell ref="A22:B22"/>
    <mergeCell ref="A23:B23"/>
    <mergeCell ref="A24:B24"/>
    <mergeCell ref="A25:B25"/>
    <mergeCell ref="A26:B26"/>
    <mergeCell ref="A15:B15"/>
    <mergeCell ref="A4:B4"/>
    <mergeCell ref="A5:B5"/>
    <mergeCell ref="A6:B6"/>
    <mergeCell ref="A11:B11"/>
    <mergeCell ref="A7:B7"/>
    <mergeCell ref="A8:B8"/>
    <mergeCell ref="A9:B9"/>
    <mergeCell ref="A10:B10"/>
    <mergeCell ref="C1:C2"/>
    <mergeCell ref="A1:B2"/>
    <mergeCell ref="A20:B20"/>
    <mergeCell ref="A16:B16"/>
    <mergeCell ref="A17:B17"/>
    <mergeCell ref="A18:B18"/>
    <mergeCell ref="A19:B19"/>
    <mergeCell ref="A12:B12"/>
    <mergeCell ref="A13:B13"/>
    <mergeCell ref="A14:B14"/>
  </mergeCells>
  <phoneticPr fontId="0" type="noConversion"/>
  <printOptions horizontalCentered="1" verticalCentered="1"/>
  <pageMargins left="0.25" right="0.25" top="0.5" bottom="0.25" header="0.25" footer="0.25"/>
  <pageSetup paperSize="5" scale="36" orientation="portrait"/>
  <headerFooter alignWithMargins="0">
    <oddFooter>&amp;L&amp;18&amp;D &amp;T&amp;R&amp;18&amp;A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5268" r:id="rId3" name="Spinner 100">
              <controlPr defaultSize="0" autoPict="0" macro="[0]!Proj_Year_Spin_Click">
                <anchor moveWithCells="1" sizeWithCells="1">
                  <from>
                    <xdr:col>2</xdr:col>
                    <xdr:colOff>660400</xdr:colOff>
                    <xdr:row>0</xdr:row>
                    <xdr:rowOff>38100</xdr:rowOff>
                  </from>
                  <to>
                    <xdr:col>2</xdr:col>
                    <xdr:colOff>800100</xdr:colOff>
                    <xdr:row>1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10</vt:i4>
      </vt:variant>
    </vt:vector>
  </HeadingPairs>
  <TitlesOfParts>
    <vt:vector size="11" baseType="lpstr">
      <vt:lpstr>_Proj</vt:lpstr>
      <vt:lpstr>_Proj!_Base_Year</vt:lpstr>
      <vt:lpstr>_Proj!_Formulas</vt:lpstr>
      <vt:lpstr>_Proj!_Line_Item_Name_Column</vt:lpstr>
      <vt:lpstr>_Proj!_Line_Type_Column</vt:lpstr>
      <vt:lpstr>_Proj!_Num_Years</vt:lpstr>
      <vt:lpstr>_Proj!_Projection</vt:lpstr>
      <vt:lpstr>_Proj!_Template</vt:lpstr>
      <vt:lpstr>_Proj!Amount_Column</vt:lpstr>
      <vt:lpstr>_Proj!Property_Type_Filter</vt:lpstr>
      <vt:lpstr>_Proj!Tab_Type</vt:lpstr>
    </vt:vector>
  </TitlesOfParts>
  <Company>Federal Home Loan Mortgage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Freddie Mac</dc:creator>
  <cp:lastModifiedBy>Dietmar Rietsch</cp:lastModifiedBy>
  <cp:lastPrinted>2004-05-12T15:56:10Z</cp:lastPrinted>
  <dcterms:created xsi:type="dcterms:W3CDTF">2004-04-22T19:45:26Z</dcterms:created>
  <dcterms:modified xsi:type="dcterms:W3CDTF">2026-08-20T13:57:11Z</dcterms:modified>
</cp:coreProperties>
</file>