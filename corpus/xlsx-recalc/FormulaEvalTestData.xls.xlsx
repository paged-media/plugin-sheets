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89FE4612-ABFC-CE4B-970C-60A27DAF8BB8}" xr6:coauthVersionLast="47" xr6:coauthVersionMax="47" xr10:uidLastSave="{00000000-0000-0000-0000-000000000000}"/>
  <bookViews>
    <workbookView xWindow="32760" yWindow="29960" windowWidth="25200" windowHeight="11980" tabRatio="452" xr2:uid="{4D2050E3-A356-7D48-A9DF-9A1E522822E6}"/>
  </bookViews>
  <sheets>
    <sheet name="EverythingTests" sheetId="1" r:id="rId1"/>
    <sheet name="FinanceLibTests" sheetId="2" r:id="rId2"/>
    <sheet name="StatsLibTests" sheetId="3" r:id="rId3"/>
    <sheet name="mis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8" i="1" l="1"/>
  <c r="K268" i="1"/>
  <c r="N268" i="1"/>
  <c r="M268" i="1"/>
  <c r="L268" i="1"/>
  <c r="J268" i="1"/>
  <c r="I268" i="1"/>
  <c r="H268" i="1"/>
  <c r="G268" i="1"/>
  <c r="F268" i="1"/>
  <c r="E268" i="1"/>
  <c r="D268" i="1"/>
  <c r="N1044" i="1"/>
  <c r="M1044" i="1"/>
  <c r="L1044" i="1"/>
  <c r="K1044" i="1"/>
  <c r="J1044" i="1"/>
  <c r="I1044" i="1"/>
  <c r="H1044" i="1"/>
  <c r="N1068" i="1"/>
  <c r="M1068" i="1"/>
  <c r="L1068" i="1"/>
  <c r="K1068" i="1"/>
  <c r="J1068" i="1"/>
  <c r="I1068" i="1"/>
  <c r="H1068" i="1"/>
  <c r="G1068" i="1"/>
  <c r="F1068" i="1"/>
  <c r="E1068" i="1"/>
  <c r="D1068" i="1"/>
  <c r="E956" i="1"/>
  <c r="F956" i="1"/>
  <c r="H956" i="1"/>
  <c r="G956" i="1"/>
  <c r="D956" i="1"/>
  <c r="E1308" i="1"/>
  <c r="D1308" i="1"/>
  <c r="E792" i="1"/>
  <c r="D792" i="1"/>
  <c r="K1036" i="1"/>
  <c r="J1036" i="1"/>
  <c r="I1036" i="1"/>
  <c r="H1036" i="1"/>
  <c r="G1036" i="1"/>
  <c r="F1036" i="1"/>
  <c r="E1036" i="1"/>
  <c r="D1036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M736" i="1"/>
  <c r="L736" i="1"/>
  <c r="K736" i="1"/>
  <c r="J736" i="1"/>
  <c r="I736" i="1"/>
  <c r="H736" i="1"/>
  <c r="G736" i="1"/>
  <c r="F736" i="1"/>
  <c r="E736" i="1"/>
  <c r="D73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H200" i="1"/>
  <c r="G200" i="1"/>
  <c r="F200" i="1"/>
  <c r="E200" i="1"/>
  <c r="D200" i="1"/>
  <c r="M520" i="1"/>
  <c r="L520" i="1"/>
  <c r="K520" i="1"/>
  <c r="J520" i="1"/>
  <c r="I520" i="1"/>
  <c r="H520" i="1"/>
  <c r="G520" i="1"/>
  <c r="F520" i="1"/>
  <c r="E520" i="1"/>
  <c r="D520" i="1"/>
  <c r="I1524" i="1"/>
  <c r="G1524" i="1"/>
  <c r="F1524" i="1"/>
  <c r="D1524" i="1"/>
  <c r="E1524" i="1"/>
  <c r="J1524" i="1"/>
  <c r="H1524" i="1"/>
  <c r="K1136" i="1"/>
  <c r="J1136" i="1"/>
  <c r="I1136" i="1"/>
  <c r="H1136" i="1"/>
  <c r="G1136" i="1"/>
  <c r="F1136" i="1"/>
  <c r="E1136" i="1"/>
  <c r="D1136" i="1"/>
  <c r="E796" i="1"/>
  <c r="D796" i="1"/>
  <c r="D1108" i="1"/>
  <c r="I1148" i="1"/>
  <c r="H1148" i="1"/>
  <c r="G1148" i="1"/>
  <c r="D1148" i="1"/>
  <c r="E1028" i="1"/>
  <c r="D1028" i="1"/>
  <c r="F800" i="1"/>
  <c r="E800" i="1"/>
  <c r="D800" i="1"/>
  <c r="H1356" i="1"/>
  <c r="G1356" i="1"/>
  <c r="F1356" i="1"/>
  <c r="E1356" i="1"/>
  <c r="D1356" i="1"/>
  <c r="E1484" i="1"/>
  <c r="D1484" i="1"/>
  <c r="G1460" i="1"/>
  <c r="F1460" i="1"/>
  <c r="E1460" i="1"/>
  <c r="D1460" i="1"/>
  <c r="D1412" i="1"/>
  <c r="F1412" i="1"/>
  <c r="E1412" i="1"/>
  <c r="H1256" i="1"/>
  <c r="G1256" i="1"/>
  <c r="F1256" i="1"/>
  <c r="E1256" i="1"/>
  <c r="D1256" i="1"/>
  <c r="D1236" i="1"/>
  <c r="D1152" i="1"/>
  <c r="E1096" i="1"/>
  <c r="D1096" i="1"/>
  <c r="D904" i="1"/>
  <c r="E904" i="1"/>
  <c r="D748" i="1"/>
  <c r="D1084" i="1"/>
  <c r="H1012" i="1"/>
  <c r="G1012" i="1"/>
  <c r="F1012" i="1"/>
  <c r="E1012" i="1"/>
  <c r="D1012" i="1"/>
  <c r="F1264" i="1"/>
  <c r="E1264" i="1"/>
  <c r="D1264" i="1"/>
  <c r="F948" i="1"/>
  <c r="E948" i="1"/>
  <c r="D948" i="1"/>
  <c r="D1424" i="1"/>
  <c r="E1424" i="1"/>
  <c r="H744" i="1"/>
  <c r="G744" i="1"/>
  <c r="F744" i="1"/>
  <c r="E744" i="1"/>
  <c r="D744" i="1"/>
  <c r="G1512" i="1"/>
  <c r="F1512" i="1"/>
  <c r="E1512" i="1"/>
  <c r="D1512" i="1"/>
  <c r="G740" i="1"/>
  <c r="F740" i="1"/>
  <c r="D740" i="1"/>
  <c r="E740" i="1"/>
  <c r="G540" i="1"/>
  <c r="H540" i="1"/>
  <c r="F540" i="1"/>
  <c r="E540" i="1"/>
  <c r="D540" i="1"/>
  <c r="F352" i="1"/>
  <c r="E352" i="1"/>
  <c r="D352" i="1"/>
  <c r="L328" i="1"/>
  <c r="K328" i="1"/>
  <c r="J328" i="1"/>
  <c r="I328" i="1"/>
  <c r="H328" i="1"/>
  <c r="G328" i="1"/>
  <c r="F328" i="1"/>
  <c r="E328" i="1"/>
  <c r="D328" i="1"/>
  <c r="E300" i="1"/>
  <c r="D300" i="1"/>
  <c r="D260" i="1"/>
  <c r="D248" i="1"/>
  <c r="F224" i="1"/>
  <c r="E224" i="1"/>
  <c r="D224" i="1"/>
  <c r="E128" i="1"/>
  <c r="D128" i="1"/>
  <c r="E19" i="3"/>
  <c r="D19" i="3"/>
  <c r="C19" i="3"/>
  <c r="B19" i="3"/>
  <c r="L1496" i="1"/>
  <c r="L1488" i="1"/>
  <c r="K1496" i="1"/>
  <c r="G1496" i="1"/>
  <c r="D1496" i="1"/>
  <c r="K1488" i="1"/>
  <c r="G1488" i="1"/>
  <c r="D1488" i="1"/>
  <c r="H47" i="1"/>
  <c r="G47" i="1"/>
  <c r="F47" i="1"/>
  <c r="E47" i="1"/>
  <c r="D47" i="1"/>
  <c r="E75" i="1"/>
  <c r="D75" i="1"/>
  <c r="I820" i="1"/>
  <c r="H820" i="1"/>
  <c r="G820" i="1"/>
  <c r="F820" i="1"/>
  <c r="E820" i="1"/>
  <c r="D820" i="1"/>
  <c r="E1364" i="1"/>
  <c r="D1364" i="1"/>
  <c r="E304" i="1"/>
  <c r="H244" i="1"/>
  <c r="G244" i="1"/>
  <c r="F244" i="1"/>
  <c r="E244" i="1"/>
  <c r="D244" i="1"/>
  <c r="I1024" i="1"/>
  <c r="X1352" i="1"/>
  <c r="Y1352" i="1"/>
  <c r="U1352" i="1"/>
  <c r="V1352" i="1"/>
  <c r="W1352" i="1"/>
  <c r="I1176" i="1"/>
  <c r="H1176" i="1"/>
  <c r="G1176" i="1"/>
  <c r="F1176" i="1"/>
  <c r="E1176" i="1"/>
  <c r="D1176" i="1"/>
  <c r="R1476" i="1"/>
  <c r="Q1476" i="1"/>
  <c r="P908" i="1"/>
  <c r="K968" i="1"/>
  <c r="M968" i="1"/>
  <c r="F1092" i="1"/>
  <c r="E1092" i="1"/>
  <c r="H1024" i="1"/>
  <c r="G1024" i="1"/>
  <c r="F1024" i="1"/>
  <c r="E1024" i="1"/>
  <c r="D1128" i="1"/>
  <c r="D1092" i="1"/>
  <c r="D1024" i="1"/>
  <c r="F604" i="1"/>
  <c r="E604" i="1"/>
  <c r="D604" i="1"/>
  <c r="M216" i="1"/>
  <c r="O168" i="1"/>
  <c r="N168" i="1"/>
  <c r="E768" i="1"/>
  <c r="D768" i="1"/>
  <c r="E348" i="1"/>
  <c r="E972" i="1"/>
  <c r="E1540" i="1"/>
  <c r="I1540" i="1"/>
  <c r="H1540" i="1"/>
  <c r="G1540" i="1"/>
  <c r="F1540" i="1"/>
  <c r="D1540" i="1"/>
  <c r="I972" i="1"/>
  <c r="H972" i="1"/>
  <c r="G972" i="1"/>
  <c r="F972" i="1"/>
  <c r="D972" i="1"/>
  <c r="H348" i="1"/>
  <c r="G348" i="1"/>
  <c r="F348" i="1"/>
  <c r="D348" i="1"/>
  <c r="O43" i="1"/>
  <c r="N43" i="1"/>
  <c r="I43" i="1"/>
  <c r="H43" i="1"/>
  <c r="P35" i="1"/>
  <c r="O35" i="1"/>
  <c r="N35" i="1"/>
  <c r="T63" i="1"/>
  <c r="M35" i="1"/>
  <c r="L35" i="1"/>
  <c r="S63" i="1"/>
  <c r="F756" i="1"/>
  <c r="M756" i="1"/>
  <c r="G756" i="1"/>
  <c r="L756" i="1"/>
  <c r="F296" i="1"/>
  <c r="F292" i="1"/>
  <c r="G1044" i="1"/>
  <c r="E1044" i="1"/>
  <c r="D1044" i="1"/>
  <c r="F1044" i="1"/>
  <c r="K476" i="1"/>
  <c r="J476" i="1"/>
  <c r="I476" i="1"/>
  <c r="H476" i="1"/>
  <c r="G476" i="1"/>
  <c r="F476" i="1"/>
  <c r="E476" i="1"/>
  <c r="D476" i="1"/>
  <c r="D292" i="1"/>
  <c r="H67" i="1"/>
  <c r="F67" i="1"/>
  <c r="E67" i="1"/>
  <c r="D67" i="1"/>
  <c r="M1376" i="1"/>
  <c r="L1376" i="1"/>
  <c r="N87" i="1"/>
  <c r="L176" i="1"/>
  <c r="L804" i="1"/>
  <c r="J180" i="1"/>
  <c r="L864" i="1"/>
  <c r="G932" i="1"/>
  <c r="L1328" i="1"/>
  <c r="K1328" i="1"/>
  <c r="E7" i="1"/>
  <c r="I23" i="1"/>
  <c r="N1372" i="1"/>
  <c r="M1372" i="1"/>
  <c r="J1360" i="1"/>
  <c r="F932" i="1"/>
  <c r="E932" i="1"/>
  <c r="D932" i="1"/>
  <c r="D304" i="1"/>
  <c r="D296" i="1"/>
  <c r="F912" i="1"/>
  <c r="E912" i="1"/>
  <c r="D912" i="1"/>
  <c r="D984" i="1"/>
  <c r="J1368" i="1"/>
  <c r="K1370" i="1"/>
  <c r="K1368" i="1"/>
  <c r="D1368" i="1"/>
  <c r="I1368" i="1"/>
  <c r="H1368" i="1"/>
  <c r="G1368" i="1"/>
  <c r="F1368" i="1"/>
  <c r="E1368" i="1"/>
  <c r="M1224" i="1"/>
  <c r="F87" i="1"/>
  <c r="F7" i="1"/>
  <c r="N828" i="1"/>
  <c r="F8" i="1"/>
  <c r="E1148" i="1"/>
  <c r="R8" i="1"/>
  <c r="F9" i="1"/>
  <c r="J39" i="1"/>
  <c r="Q9" i="1"/>
  <c r="P71" i="1"/>
  <c r="R9" i="1"/>
  <c r="F10" i="1"/>
  <c r="F11" i="1"/>
  <c r="L384" i="1"/>
  <c r="N384" i="1"/>
  <c r="F12" i="1"/>
  <c r="G272" i="1"/>
  <c r="E13" i="1"/>
  <c r="H944" i="1"/>
  <c r="E14" i="1"/>
  <c r="F14" i="1"/>
  <c r="I812" i="1"/>
  <c r="K812" i="1"/>
  <c r="E15" i="1"/>
  <c r="H1360" i="1"/>
  <c r="E16" i="1"/>
  <c r="K1288" i="1"/>
  <c r="E17" i="1"/>
  <c r="F13" i="1"/>
  <c r="F264" i="1"/>
  <c r="B18" i="1"/>
  <c r="H108" i="1"/>
  <c r="E18" i="1"/>
  <c r="O1448" i="1"/>
  <c r="B19" i="1"/>
  <c r="G63" i="1"/>
  <c r="F20" i="1"/>
  <c r="E864" i="1"/>
  <c r="D23" i="1"/>
  <c r="L840" i="1"/>
  <c r="E23" i="1"/>
  <c r="F23" i="1"/>
  <c r="J23" i="1"/>
  <c r="K23" i="1"/>
  <c r="D27" i="1"/>
  <c r="E27" i="1"/>
  <c r="F27" i="1"/>
  <c r="I27" i="1"/>
  <c r="D31" i="1"/>
  <c r="E31" i="1"/>
  <c r="F31" i="1"/>
  <c r="G31" i="1"/>
  <c r="H31" i="1"/>
  <c r="I31" i="1"/>
  <c r="O31" i="1"/>
  <c r="P31" i="1"/>
  <c r="Q31" i="1"/>
  <c r="D35" i="1"/>
  <c r="E35" i="1"/>
  <c r="F35" i="1"/>
  <c r="G35" i="1"/>
  <c r="H35" i="1"/>
  <c r="I35" i="1"/>
  <c r="J35" i="1"/>
  <c r="K35" i="1"/>
  <c r="D39" i="1"/>
  <c r="E39" i="1"/>
  <c r="F39" i="1"/>
  <c r="G39" i="1"/>
  <c r="H39" i="1"/>
  <c r="I39" i="1"/>
  <c r="K39" i="1"/>
  <c r="L39" i="1"/>
  <c r="D43" i="1"/>
  <c r="E43" i="1"/>
  <c r="F43" i="1"/>
  <c r="G43" i="1"/>
  <c r="D51" i="1"/>
  <c r="E51" i="1"/>
  <c r="F51" i="1"/>
  <c r="G51" i="1"/>
  <c r="H51" i="1"/>
  <c r="M51" i="1"/>
  <c r="D55" i="1"/>
  <c r="E55" i="1"/>
  <c r="F55" i="1"/>
  <c r="G55" i="1"/>
  <c r="D59" i="1"/>
  <c r="E59" i="1"/>
  <c r="F59" i="1"/>
  <c r="G59" i="1"/>
  <c r="H59" i="1"/>
  <c r="J59" i="1"/>
  <c r="L59" i="1"/>
  <c r="K59" i="1"/>
  <c r="M59" i="1"/>
  <c r="N59" i="1"/>
  <c r="O59" i="1"/>
  <c r="P59" i="1"/>
  <c r="D63" i="1"/>
  <c r="E63" i="1"/>
  <c r="H63" i="1"/>
  <c r="I63" i="1"/>
  <c r="J63" i="1"/>
  <c r="N63" i="1"/>
  <c r="O63" i="1"/>
  <c r="P63" i="1"/>
  <c r="Q63" i="1"/>
  <c r="R63" i="1"/>
  <c r="D71" i="1"/>
  <c r="E71" i="1"/>
  <c r="F71" i="1"/>
  <c r="G71" i="1"/>
  <c r="H71" i="1"/>
  <c r="I71" i="1"/>
  <c r="J71" i="1"/>
  <c r="K71" i="1"/>
  <c r="L71" i="1"/>
  <c r="M71" i="1"/>
  <c r="O71" i="1"/>
  <c r="Q71" i="1"/>
  <c r="D79" i="1"/>
  <c r="E79" i="1"/>
  <c r="F79" i="1"/>
  <c r="G79" i="1"/>
  <c r="H79" i="1"/>
  <c r="J79" i="1"/>
  <c r="L79" i="1"/>
  <c r="M79" i="1"/>
  <c r="N79" i="1"/>
  <c r="O79" i="1"/>
  <c r="P79" i="1"/>
  <c r="D83" i="1"/>
  <c r="E83" i="1"/>
  <c r="F83" i="1"/>
  <c r="G83" i="1"/>
  <c r="H83" i="1"/>
  <c r="I83" i="1"/>
  <c r="L83" i="1"/>
  <c r="M83" i="1"/>
  <c r="N83" i="1"/>
  <c r="D87" i="1"/>
  <c r="E87" i="1"/>
  <c r="G87" i="1"/>
  <c r="H87" i="1"/>
  <c r="I87" i="1"/>
  <c r="J87" i="1"/>
  <c r="K87" i="1"/>
  <c r="M87" i="1"/>
  <c r="D96" i="1"/>
  <c r="E96" i="1"/>
  <c r="F96" i="1"/>
  <c r="G96" i="1"/>
  <c r="I96" i="1"/>
  <c r="L96" i="1"/>
  <c r="M96" i="1"/>
  <c r="N96" i="1"/>
  <c r="O96" i="1"/>
  <c r="Q96" i="1"/>
  <c r="R96" i="1"/>
  <c r="D104" i="1"/>
  <c r="E104" i="1"/>
  <c r="F104" i="1"/>
  <c r="G104" i="1"/>
  <c r="H104" i="1"/>
  <c r="I104" i="1"/>
  <c r="J104" i="1"/>
  <c r="K104" i="1"/>
  <c r="M104" i="1"/>
  <c r="N104" i="1"/>
  <c r="P104" i="1"/>
  <c r="Q104" i="1"/>
  <c r="D108" i="1"/>
  <c r="E108" i="1"/>
  <c r="F108" i="1"/>
  <c r="G108" i="1"/>
  <c r="I108" i="1"/>
  <c r="J108" i="1"/>
  <c r="K108" i="1"/>
  <c r="M108" i="1"/>
  <c r="N108" i="1"/>
  <c r="O108" i="1"/>
  <c r="E136" i="1"/>
  <c r="J136" i="1"/>
  <c r="M136" i="1"/>
  <c r="N136" i="1"/>
  <c r="O136" i="1"/>
  <c r="D156" i="1"/>
  <c r="E156" i="1"/>
  <c r="F156" i="1"/>
  <c r="G156" i="1"/>
  <c r="H156" i="1"/>
  <c r="I156" i="1"/>
  <c r="J156" i="1"/>
  <c r="L156" i="1"/>
  <c r="M156" i="1"/>
  <c r="N156" i="1"/>
  <c r="O156" i="1"/>
  <c r="P156" i="1"/>
  <c r="D160" i="1"/>
  <c r="E160" i="1"/>
  <c r="F160" i="1"/>
  <c r="G160" i="1"/>
  <c r="H160" i="1"/>
  <c r="I160" i="1"/>
  <c r="K160" i="1"/>
  <c r="L160" i="1"/>
  <c r="O160" i="1"/>
  <c r="M160" i="1"/>
  <c r="N160" i="1"/>
  <c r="P160" i="1"/>
  <c r="D164" i="1"/>
  <c r="E164" i="1"/>
  <c r="F164" i="1"/>
  <c r="G164" i="1"/>
  <c r="J164" i="1"/>
  <c r="M164" i="1"/>
  <c r="N164" i="1"/>
  <c r="O164" i="1"/>
  <c r="P164" i="1"/>
  <c r="D168" i="1"/>
  <c r="E168" i="1"/>
  <c r="F168" i="1"/>
  <c r="G168" i="1"/>
  <c r="I168" i="1"/>
  <c r="J168" i="1"/>
  <c r="K168" i="1"/>
  <c r="L168" i="1"/>
  <c r="M168" i="1"/>
  <c r="D172" i="1"/>
  <c r="E172" i="1"/>
  <c r="F172" i="1"/>
  <c r="G172" i="1"/>
  <c r="H172" i="1"/>
  <c r="K172" i="1"/>
  <c r="L172" i="1"/>
  <c r="M172" i="1"/>
  <c r="N172" i="1"/>
  <c r="D176" i="1"/>
  <c r="E176" i="1"/>
  <c r="I176" i="1"/>
  <c r="K176" i="1"/>
  <c r="G180" i="1"/>
  <c r="D216" i="1"/>
  <c r="E216" i="1"/>
  <c r="F216" i="1"/>
  <c r="G216" i="1"/>
  <c r="K216" i="1"/>
  <c r="L216" i="1"/>
  <c r="D256" i="1"/>
  <c r="E256" i="1"/>
  <c r="F256" i="1"/>
  <c r="G256" i="1"/>
  <c r="H256" i="1"/>
  <c r="I256" i="1"/>
  <c r="D264" i="1"/>
  <c r="L264" i="1"/>
  <c r="E264" i="1"/>
  <c r="G264" i="1"/>
  <c r="I264" i="1"/>
  <c r="J264" i="1"/>
  <c r="K264" i="1"/>
  <c r="D272" i="1"/>
  <c r="K272" i="1"/>
  <c r="D284" i="1"/>
  <c r="E284" i="1"/>
  <c r="G284" i="1"/>
  <c r="H284" i="1"/>
  <c r="I284" i="1"/>
  <c r="K284" i="1"/>
  <c r="L284" i="1"/>
  <c r="N284" i="1"/>
  <c r="O284" i="1"/>
  <c r="D288" i="1"/>
  <c r="E288" i="1"/>
  <c r="F288" i="1"/>
  <c r="G288" i="1"/>
  <c r="I288" i="1"/>
  <c r="L288" i="1"/>
  <c r="N288" i="1"/>
  <c r="D384" i="1"/>
  <c r="E384" i="1"/>
  <c r="F384" i="1"/>
  <c r="G384" i="1"/>
  <c r="H384" i="1"/>
  <c r="J384" i="1"/>
  <c r="M384" i="1"/>
  <c r="O384" i="1"/>
  <c r="D408" i="1"/>
  <c r="E408" i="1"/>
  <c r="G408" i="1"/>
  <c r="I408" i="1"/>
  <c r="D436" i="1"/>
  <c r="E436" i="1"/>
  <c r="F436" i="1"/>
  <c r="G436" i="1"/>
  <c r="H436" i="1"/>
  <c r="K436" i="1"/>
  <c r="M436" i="1"/>
  <c r="N436" i="1"/>
  <c r="D488" i="1"/>
  <c r="E488" i="1"/>
  <c r="F488" i="1"/>
  <c r="G488" i="1"/>
  <c r="H488" i="1"/>
  <c r="I488" i="1"/>
  <c r="M488" i="1"/>
  <c r="D492" i="1"/>
  <c r="F492" i="1"/>
  <c r="H492" i="1"/>
  <c r="J492" i="1"/>
  <c r="K492" i="1"/>
  <c r="D504" i="1"/>
  <c r="E504" i="1"/>
  <c r="F504" i="1"/>
  <c r="G504" i="1"/>
  <c r="H504" i="1"/>
  <c r="J504" i="1"/>
  <c r="K504" i="1"/>
  <c r="L504" i="1"/>
  <c r="D516" i="1"/>
  <c r="E516" i="1"/>
  <c r="F516" i="1"/>
  <c r="G516" i="1"/>
  <c r="S516" i="1"/>
  <c r="H516" i="1"/>
  <c r="I516" i="1"/>
  <c r="K516" i="1"/>
  <c r="L516" i="1"/>
  <c r="M516" i="1"/>
  <c r="P516" i="1"/>
  <c r="R516" i="1"/>
  <c r="T516" i="1"/>
  <c r="D524" i="1"/>
  <c r="D564" i="1"/>
  <c r="E564" i="1"/>
  <c r="F564" i="1"/>
  <c r="G564" i="1"/>
  <c r="H564" i="1"/>
  <c r="I564" i="1"/>
  <c r="J564" i="1"/>
  <c r="K564" i="1"/>
  <c r="M564" i="1"/>
  <c r="D756" i="1"/>
  <c r="E756" i="1"/>
  <c r="H756" i="1"/>
  <c r="I756" i="1"/>
  <c r="J756" i="1"/>
  <c r="K756" i="1"/>
  <c r="D788" i="1"/>
  <c r="E788" i="1"/>
  <c r="F788" i="1"/>
  <c r="H788" i="1"/>
  <c r="I788" i="1"/>
  <c r="M788" i="1"/>
  <c r="N788" i="1"/>
  <c r="O788" i="1"/>
  <c r="D804" i="1"/>
  <c r="E804" i="1"/>
  <c r="F804" i="1"/>
  <c r="G804" i="1"/>
  <c r="I804" i="1"/>
  <c r="J804" i="1"/>
  <c r="K804" i="1"/>
  <c r="D812" i="1"/>
  <c r="E812" i="1"/>
  <c r="F812" i="1"/>
  <c r="G812" i="1"/>
  <c r="H812" i="1"/>
  <c r="L812" i="1"/>
  <c r="J812" i="1"/>
  <c r="D816" i="1"/>
  <c r="E816" i="1"/>
  <c r="F816" i="1"/>
  <c r="H816" i="1"/>
  <c r="I816" i="1"/>
  <c r="J816" i="1"/>
  <c r="K816" i="1"/>
  <c r="L816" i="1"/>
  <c r="D824" i="1"/>
  <c r="E824" i="1"/>
  <c r="F824" i="1"/>
  <c r="G824" i="1"/>
  <c r="H824" i="1"/>
  <c r="K824" i="1"/>
  <c r="L824" i="1"/>
  <c r="D828" i="1"/>
  <c r="E828" i="1"/>
  <c r="F828" i="1"/>
  <c r="G828" i="1"/>
  <c r="I828" i="1"/>
  <c r="J828" i="1"/>
  <c r="K828" i="1"/>
  <c r="P828" i="1"/>
  <c r="Q828" i="1"/>
  <c r="D836" i="1"/>
  <c r="E836" i="1"/>
  <c r="F836" i="1"/>
  <c r="G836" i="1"/>
  <c r="H836" i="1"/>
  <c r="I836" i="1"/>
  <c r="J836" i="1"/>
  <c r="K836" i="1"/>
  <c r="D840" i="1"/>
  <c r="E840" i="1"/>
  <c r="F840" i="1"/>
  <c r="G840" i="1"/>
  <c r="H840" i="1"/>
  <c r="I840" i="1"/>
  <c r="J840" i="1"/>
  <c r="K840" i="1"/>
  <c r="D848" i="1"/>
  <c r="E848" i="1"/>
  <c r="F848" i="1"/>
  <c r="G848" i="1"/>
  <c r="H848" i="1"/>
  <c r="I848" i="1"/>
  <c r="J848" i="1"/>
  <c r="D856" i="1"/>
  <c r="E856" i="1"/>
  <c r="F856" i="1"/>
  <c r="G856" i="1"/>
  <c r="I856" i="1"/>
  <c r="J856" i="1"/>
  <c r="K856" i="1"/>
  <c r="D864" i="1"/>
  <c r="F864" i="1"/>
  <c r="H864" i="1"/>
  <c r="I864" i="1"/>
  <c r="K864" i="1"/>
  <c r="D880" i="1"/>
  <c r="E880" i="1"/>
  <c r="F880" i="1"/>
  <c r="G880" i="1"/>
  <c r="H880" i="1"/>
  <c r="J880" i="1"/>
  <c r="K880" i="1"/>
  <c r="M880" i="1"/>
  <c r="N880" i="1"/>
  <c r="O880" i="1"/>
  <c r="P880" i="1"/>
  <c r="D884" i="1"/>
  <c r="E884" i="1"/>
  <c r="F884" i="1"/>
  <c r="G884" i="1"/>
  <c r="H884" i="1"/>
  <c r="I884" i="1"/>
  <c r="J884" i="1"/>
  <c r="L884" i="1"/>
  <c r="M884" i="1"/>
  <c r="D888" i="1"/>
  <c r="E888" i="1"/>
  <c r="F888" i="1"/>
  <c r="G888" i="1"/>
  <c r="H888" i="1"/>
  <c r="I888" i="1"/>
  <c r="K888" i="1"/>
  <c r="N888" i="1"/>
  <c r="O888" i="1"/>
  <c r="D908" i="1"/>
  <c r="E908" i="1"/>
  <c r="F908" i="1"/>
  <c r="G908" i="1"/>
  <c r="I908" i="1"/>
  <c r="J908" i="1"/>
  <c r="K908" i="1"/>
  <c r="L908" i="1"/>
  <c r="M908" i="1"/>
  <c r="N908" i="1"/>
  <c r="O908" i="1"/>
  <c r="F916" i="1"/>
  <c r="H916" i="1"/>
  <c r="J916" i="1"/>
  <c r="D920" i="1"/>
  <c r="E920" i="1"/>
  <c r="F920" i="1"/>
  <c r="I920" i="1"/>
  <c r="E928" i="1"/>
  <c r="G928" i="1"/>
  <c r="J928" i="1"/>
  <c r="K928" i="1"/>
  <c r="D940" i="1"/>
  <c r="E940" i="1"/>
  <c r="F940" i="1"/>
  <c r="J940" i="1"/>
  <c r="M940" i="1"/>
  <c r="F944" i="1"/>
  <c r="D964" i="1"/>
  <c r="E964" i="1"/>
  <c r="F964" i="1"/>
  <c r="G964" i="1"/>
  <c r="L964" i="1"/>
  <c r="I964" i="1"/>
  <c r="K964" i="1"/>
  <c r="M964" i="1"/>
  <c r="N964" i="1"/>
  <c r="D968" i="1"/>
  <c r="E968" i="1"/>
  <c r="F968" i="1"/>
  <c r="H968" i="1"/>
  <c r="I968" i="1"/>
  <c r="D1040" i="1"/>
  <c r="E1040" i="1"/>
  <c r="F1040" i="1"/>
  <c r="G1040" i="1"/>
  <c r="H1040" i="1"/>
  <c r="I1040" i="1"/>
  <c r="J1040" i="1"/>
  <c r="K1040" i="1"/>
  <c r="L1040" i="1"/>
  <c r="M1040" i="1"/>
  <c r="N1040" i="1"/>
  <c r="D1056" i="1"/>
  <c r="H1056" i="1"/>
  <c r="I1056" i="1"/>
  <c r="J1056" i="1"/>
  <c r="K1056" i="1"/>
  <c r="D1104" i="1"/>
  <c r="E1104" i="1"/>
  <c r="F1104" i="1"/>
  <c r="G1104" i="1"/>
  <c r="H1104" i="1"/>
  <c r="I1104" i="1"/>
  <c r="M1104" i="1"/>
  <c r="D1120" i="1"/>
  <c r="E1120" i="1"/>
  <c r="F1120" i="1"/>
  <c r="G1120" i="1"/>
  <c r="I1120" i="1"/>
  <c r="K1120" i="1"/>
  <c r="L1120" i="1"/>
  <c r="D1140" i="1"/>
  <c r="E1140" i="1"/>
  <c r="F1140" i="1"/>
  <c r="G1140" i="1"/>
  <c r="H1140" i="1"/>
  <c r="I1140" i="1"/>
  <c r="M1140" i="1"/>
  <c r="L1140" i="1"/>
  <c r="N1140" i="1"/>
  <c r="D1208" i="1"/>
  <c r="E1208" i="1"/>
  <c r="F1208" i="1"/>
  <c r="G1208" i="1"/>
  <c r="I1208" i="1"/>
  <c r="J1208" i="1"/>
  <c r="K1208" i="1"/>
  <c r="D1220" i="1"/>
  <c r="E1220" i="1"/>
  <c r="F1220" i="1"/>
  <c r="G1220" i="1"/>
  <c r="H1220" i="1"/>
  <c r="I1220" i="1"/>
  <c r="J1220" i="1"/>
  <c r="N1220" i="1"/>
  <c r="P1220" i="1"/>
  <c r="O1220" i="1"/>
  <c r="D1224" i="1"/>
  <c r="E1224" i="1"/>
  <c r="F1224" i="1"/>
  <c r="G1224" i="1"/>
  <c r="H1224" i="1"/>
  <c r="N1224" i="1"/>
  <c r="O1224" i="1"/>
  <c r="P1224" i="1"/>
  <c r="D1228" i="1"/>
  <c r="E1228" i="1"/>
  <c r="F1228" i="1"/>
  <c r="G1228" i="1"/>
  <c r="H1228" i="1"/>
  <c r="I1228" i="1"/>
  <c r="L1228" i="1"/>
  <c r="M1228" i="1"/>
  <c r="O1228" i="1"/>
  <c r="D1232" i="1"/>
  <c r="E1232" i="1"/>
  <c r="F1232" i="1"/>
  <c r="G1232" i="1"/>
  <c r="H1232" i="1"/>
  <c r="I1232" i="1"/>
  <c r="J1232" i="1"/>
  <c r="K1232" i="1"/>
  <c r="D1288" i="1"/>
  <c r="E1288" i="1"/>
  <c r="F1288" i="1"/>
  <c r="G1288" i="1"/>
  <c r="H1288" i="1"/>
  <c r="I1288" i="1"/>
  <c r="J1288" i="1"/>
  <c r="N1288" i="1"/>
  <c r="M1288" i="1"/>
  <c r="O1288" i="1"/>
  <c r="D1292" i="1"/>
  <c r="E1292" i="1"/>
  <c r="F1292" i="1"/>
  <c r="G1292" i="1"/>
  <c r="H1292" i="1"/>
  <c r="J1292" i="1"/>
  <c r="M1292" i="1"/>
  <c r="O1292" i="1"/>
  <c r="D1296" i="1"/>
  <c r="E1296" i="1"/>
  <c r="F1296" i="1"/>
  <c r="G1296" i="1"/>
  <c r="I1296" i="1"/>
  <c r="M1296" i="1"/>
  <c r="O1296" i="1"/>
  <c r="D1312" i="1"/>
  <c r="E1312" i="1"/>
  <c r="F1312" i="1"/>
  <c r="K1312" i="1"/>
  <c r="D1320" i="1"/>
  <c r="E1320" i="1"/>
  <c r="F1320" i="1"/>
  <c r="G1320" i="1"/>
  <c r="H1320" i="1"/>
  <c r="I1320" i="1"/>
  <c r="J1320" i="1"/>
  <c r="O1320" i="1"/>
  <c r="M1320" i="1"/>
  <c r="N1320" i="1"/>
  <c r="P1320" i="1"/>
  <c r="D1328" i="1"/>
  <c r="G1328" i="1"/>
  <c r="D1352" i="1"/>
  <c r="E1352" i="1"/>
  <c r="F1352" i="1"/>
  <c r="G1352" i="1"/>
  <c r="H1352" i="1"/>
  <c r="I1352" i="1"/>
  <c r="K1352" i="1"/>
  <c r="L1352" i="1"/>
  <c r="M1352" i="1"/>
  <c r="N1352" i="1"/>
  <c r="P1352" i="1"/>
  <c r="Q1352" i="1"/>
  <c r="S1352" i="1"/>
  <c r="T1352" i="1"/>
  <c r="I1360" i="1"/>
  <c r="D1372" i="1"/>
  <c r="E1372" i="1"/>
  <c r="F1372" i="1"/>
  <c r="I1372" i="1"/>
  <c r="D1376" i="1"/>
  <c r="E1376" i="1"/>
  <c r="F1376" i="1"/>
  <c r="H1376" i="1"/>
  <c r="I1376" i="1"/>
  <c r="J1376" i="1"/>
  <c r="K1376" i="1"/>
  <c r="D1380" i="1"/>
  <c r="E1380" i="1"/>
  <c r="I1380" i="1"/>
  <c r="J1380" i="1"/>
  <c r="D1384" i="1"/>
  <c r="E1384" i="1"/>
  <c r="F1384" i="1"/>
  <c r="G1384" i="1"/>
  <c r="H1384" i="1"/>
  <c r="D1392" i="1"/>
  <c r="E1392" i="1"/>
  <c r="F1392" i="1"/>
  <c r="H1392" i="1"/>
  <c r="I1392" i="1"/>
  <c r="J1392" i="1"/>
  <c r="M1392" i="1"/>
  <c r="N1392" i="1"/>
  <c r="O1392" i="1"/>
  <c r="D1396" i="1"/>
  <c r="E1396" i="1"/>
  <c r="F1396" i="1"/>
  <c r="G1396" i="1"/>
  <c r="H1396" i="1"/>
  <c r="K1396" i="1"/>
  <c r="M1396" i="1"/>
  <c r="D1400" i="1"/>
  <c r="E1400" i="1"/>
  <c r="F1400" i="1"/>
  <c r="G1400" i="1"/>
  <c r="H1400" i="1"/>
  <c r="I1400" i="1"/>
  <c r="K1400" i="1"/>
  <c r="M1400" i="1"/>
  <c r="N1400" i="1"/>
  <c r="E1448" i="1"/>
  <c r="F1448" i="1"/>
  <c r="G1448" i="1"/>
  <c r="H1448" i="1"/>
  <c r="I1448" i="1"/>
  <c r="J1448" i="1"/>
  <c r="P1448" i="1"/>
  <c r="Q1448" i="1"/>
  <c r="R1448" i="1"/>
  <c r="S1448" i="1"/>
  <c r="D1456" i="1"/>
  <c r="D1476" i="1"/>
  <c r="E1476" i="1"/>
  <c r="F1476" i="1"/>
  <c r="G1476" i="1"/>
  <c r="H1476" i="1"/>
  <c r="I1476" i="1"/>
  <c r="K1476" i="1"/>
  <c r="L1476" i="1"/>
  <c r="N1476" i="1"/>
  <c r="M1476" i="1"/>
  <c r="O1476" i="1"/>
  <c r="P1476" i="1"/>
  <c r="O2" i="2"/>
  <c r="H3" i="2"/>
  <c r="O3" i="2"/>
  <c r="H4" i="2"/>
  <c r="O4" i="2"/>
  <c r="H5" i="2"/>
  <c r="O5" i="2"/>
  <c r="H6" i="2"/>
  <c r="B7" i="2"/>
  <c r="H7" i="2"/>
  <c r="B8" i="2"/>
  <c r="H8" i="2"/>
  <c r="H9" i="2"/>
  <c r="H10" i="2"/>
  <c r="H11" i="2"/>
  <c r="H12" i="2"/>
  <c r="H13" i="2"/>
  <c r="H14" i="2"/>
  <c r="I15" i="2"/>
  <c r="I16" i="2"/>
  <c r="I17" i="2"/>
  <c r="I18" i="2"/>
  <c r="H19" i="2"/>
  <c r="H20" i="2"/>
  <c r="J21" i="2"/>
  <c r="J22" i="2"/>
  <c r="K23" i="2"/>
  <c r="G1" i="3"/>
  <c r="G18" i="3"/>
  <c r="G2" i="3"/>
  <c r="F3" i="3"/>
  <c r="F19" i="3"/>
  <c r="F12" i="3"/>
  <c r="G3" i="3"/>
  <c r="G4" i="3"/>
  <c r="G5" i="3"/>
  <c r="G6" i="3"/>
  <c r="G7" i="3"/>
  <c r="G8" i="3"/>
  <c r="G9" i="3"/>
  <c r="G10" i="3"/>
  <c r="B12" i="3"/>
  <c r="C12" i="3"/>
  <c r="D12" i="3"/>
  <c r="E12" i="3"/>
  <c r="B13" i="3"/>
  <c r="C13" i="3"/>
  <c r="D13" i="3"/>
  <c r="E13" i="3"/>
  <c r="B14" i="3"/>
  <c r="C14" i="3"/>
  <c r="D14" i="3"/>
  <c r="E14" i="3"/>
  <c r="B15" i="3"/>
  <c r="C15" i="3"/>
  <c r="D15" i="3"/>
  <c r="E15" i="3"/>
  <c r="B16" i="3"/>
  <c r="C16" i="3"/>
  <c r="D16" i="3"/>
  <c r="E16" i="3"/>
  <c r="B17" i="3"/>
  <c r="C17" i="3"/>
  <c r="D17" i="3"/>
  <c r="E17" i="3"/>
  <c r="H17" i="3"/>
  <c r="B18" i="3"/>
  <c r="C18" i="3"/>
  <c r="D18" i="3"/>
  <c r="E18" i="3"/>
  <c r="H18" i="3"/>
  <c r="B1" i="4"/>
  <c r="E1" i="4"/>
  <c r="A2" i="4"/>
  <c r="B2" i="4"/>
  <c r="B3" i="4"/>
  <c r="E2" i="4"/>
  <c r="E6" i="4"/>
  <c r="A3" i="4"/>
  <c r="D3" i="4"/>
  <c r="A8" i="4"/>
  <c r="E8" i="4"/>
  <c r="E10" i="4"/>
  <c r="A12" i="4"/>
  <c r="A14" i="4"/>
  <c r="A13" i="4"/>
  <c r="B16" i="4"/>
  <c r="A18" i="4"/>
  <c r="L63" i="1"/>
  <c r="F15" i="3"/>
  <c r="F928" i="1"/>
  <c r="H1380" i="1"/>
  <c r="G1372" i="1"/>
  <c r="F408" i="1"/>
  <c r="E180" i="1"/>
  <c r="F272" i="1"/>
  <c r="I272" i="1"/>
  <c r="G940" i="1"/>
  <c r="I1312" i="1"/>
  <c r="D180" i="1"/>
  <c r="I928" i="1"/>
  <c r="D944" i="1"/>
  <c r="K156" i="1"/>
  <c r="F16" i="3"/>
  <c r="K1296" i="1"/>
  <c r="J788" i="1"/>
  <c r="H1496" i="1"/>
  <c r="K884" i="1"/>
  <c r="P1292" i="1"/>
  <c r="K164" i="1"/>
  <c r="L43" i="1"/>
  <c r="M828" i="1"/>
  <c r="I17" i="3"/>
  <c r="L1296" i="1"/>
  <c r="N1296" i="1"/>
  <c r="L1448" i="1"/>
  <c r="Q516" i="1"/>
  <c r="F1380" i="1"/>
  <c r="J1488" i="1"/>
  <c r="H828" i="1"/>
  <c r="J51" i="1"/>
  <c r="J516" i="1"/>
  <c r="I880" i="1"/>
  <c r="H1296" i="1"/>
  <c r="I916" i="1"/>
  <c r="G916" i="1"/>
  <c r="L488" i="1"/>
  <c r="N488" i="1"/>
  <c r="L928" i="1"/>
  <c r="J96" i="1"/>
  <c r="E292" i="1"/>
  <c r="M848" i="1"/>
  <c r="K96" i="1"/>
  <c r="H23" i="1"/>
  <c r="G14" i="3"/>
  <c r="K31" i="1"/>
  <c r="G19" i="3"/>
  <c r="F128" i="1"/>
  <c r="E1360" i="1"/>
  <c r="H964" i="1"/>
  <c r="F180" i="1"/>
  <c r="F1496" i="1"/>
  <c r="L968" i="1"/>
  <c r="H55" i="1"/>
  <c r="I1292" i="1"/>
  <c r="J284" i="1"/>
  <c r="Q59" i="1"/>
  <c r="P136" i="1"/>
  <c r="J1476" i="1"/>
  <c r="H1120" i="1"/>
  <c r="I824" i="1"/>
  <c r="K488" i="1"/>
  <c r="M1448" i="1"/>
  <c r="I1496" i="1"/>
  <c r="J1372" i="1"/>
  <c r="L848" i="1"/>
  <c r="L880" i="1"/>
  <c r="H1488" i="1"/>
  <c r="G492" i="1"/>
  <c r="L1368" i="1"/>
  <c r="H908" i="1"/>
  <c r="F63" i="1"/>
  <c r="O83" i="1"/>
  <c r="E272" i="1"/>
  <c r="G1392" i="1"/>
  <c r="D928" i="1"/>
  <c r="L1400" i="1"/>
  <c r="D916" i="1"/>
  <c r="K79" i="1"/>
  <c r="J888" i="1"/>
  <c r="J43" i="1"/>
  <c r="J824" i="1"/>
  <c r="H288" i="1"/>
  <c r="H168" i="1"/>
  <c r="G788" i="1"/>
  <c r="E492" i="1"/>
  <c r="L104" i="1"/>
  <c r="O104" i="1"/>
  <c r="L136" i="1"/>
  <c r="F304" i="1"/>
  <c r="H920" i="1"/>
  <c r="K1372" i="1"/>
  <c r="I1224" i="1"/>
  <c r="G816" i="1"/>
  <c r="P96" i="1"/>
  <c r="H180" i="1"/>
  <c r="H1328" i="1"/>
  <c r="J1228" i="1"/>
  <c r="K1224" i="1"/>
  <c r="L492" i="1"/>
  <c r="G27" i="1"/>
  <c r="J172" i="1"/>
  <c r="M43" i="1"/>
  <c r="I1328" i="1"/>
  <c r="G176" i="1"/>
  <c r="G23" i="1"/>
  <c r="L164" i="1"/>
  <c r="F1488" i="1"/>
  <c r="M888" i="1"/>
  <c r="I1488" i="1"/>
  <c r="J408" i="1"/>
  <c r="F1360" i="1"/>
  <c r="L788" i="1"/>
  <c r="G1360" i="1"/>
  <c r="J1328" i="1"/>
  <c r="G1376" i="1"/>
  <c r="H408" i="1"/>
  <c r="I51" i="1"/>
  <c r="J176" i="1"/>
  <c r="J1312" i="1"/>
  <c r="J1496" i="1"/>
  <c r="M1220" i="1"/>
  <c r="J968" i="1"/>
  <c r="L51" i="1"/>
  <c r="I164" i="1"/>
  <c r="F1056" i="1"/>
  <c r="H1312" i="1"/>
  <c r="I504" i="1"/>
  <c r="L31" i="1"/>
  <c r="F1148" i="1"/>
  <c r="K384" i="1"/>
  <c r="G864" i="1"/>
  <c r="J864" i="1"/>
  <c r="I944" i="1"/>
  <c r="J1396" i="1"/>
  <c r="L1396" i="1"/>
  <c r="N31" i="1"/>
  <c r="I180" i="1"/>
  <c r="H96" i="1"/>
  <c r="I172" i="1"/>
  <c r="D1448" i="1"/>
  <c r="I1396" i="1"/>
  <c r="K1380" i="1"/>
  <c r="L1220" i="1"/>
  <c r="K848" i="1"/>
  <c r="L828" i="1"/>
  <c r="M284" i="1"/>
  <c r="K83" i="1"/>
  <c r="S9" i="1"/>
  <c r="R71" i="1"/>
  <c r="O828" i="1"/>
  <c r="I216" i="1"/>
  <c r="L1392" i="1"/>
  <c r="G67" i="1"/>
  <c r="H272" i="1"/>
  <c r="L1224" i="1"/>
  <c r="E916" i="1"/>
  <c r="J1400" i="1"/>
  <c r="H27" i="1"/>
  <c r="J1384" i="1"/>
  <c r="J944" i="1"/>
  <c r="G1380" i="1"/>
  <c r="F1328" i="1"/>
  <c r="K940" i="1"/>
  <c r="L1292" i="1"/>
  <c r="N1292" i="1"/>
  <c r="E944" i="1"/>
  <c r="J1120" i="1"/>
  <c r="K1392" i="1"/>
  <c r="J31" i="1"/>
  <c r="G920" i="1"/>
  <c r="I1384" i="1"/>
  <c r="J920" i="1"/>
  <c r="G944" i="1"/>
  <c r="H1372" i="1"/>
  <c r="I940" i="1"/>
  <c r="E296" i="1"/>
  <c r="J964" i="1"/>
  <c r="D1360" i="1"/>
  <c r="E1056" i="1"/>
  <c r="I492" i="1"/>
  <c r="M63" i="1"/>
  <c r="I79" i="1"/>
  <c r="E1328" i="1"/>
  <c r="J436" i="1"/>
  <c r="L436" i="1"/>
  <c r="F284" i="1"/>
  <c r="K1140" i="1"/>
  <c r="K916" i="1"/>
  <c r="K63" i="1"/>
  <c r="K288" i="1"/>
  <c r="M288" i="1"/>
  <c r="M31" i="1"/>
  <c r="H136" i="1"/>
  <c r="K43" i="1"/>
  <c r="E1496" i="1"/>
  <c r="L888" i="1"/>
  <c r="H216" i="1"/>
  <c r="J216" i="1"/>
  <c r="L108" i="1"/>
  <c r="H264" i="1"/>
  <c r="L1104" i="1"/>
  <c r="N1104" i="1"/>
  <c r="G1056" i="1"/>
  <c r="K1448" i="1"/>
  <c r="K136" i="1"/>
  <c r="E1488" i="1"/>
  <c r="G968" i="1"/>
  <c r="L87" i="1"/>
  <c r="G136" i="1"/>
  <c r="J160" i="1"/>
  <c r="F176" i="1"/>
  <c r="K51" i="1"/>
  <c r="N1448" i="1"/>
  <c r="O1352" i="1"/>
  <c r="L1320" i="1"/>
  <c r="L1288" i="1"/>
  <c r="K1228" i="1"/>
  <c r="N1228" i="1"/>
  <c r="J1224" i="1"/>
  <c r="H1208" i="1"/>
  <c r="J1104" i="1"/>
  <c r="L940" i="1"/>
  <c r="H856" i="1"/>
  <c r="L564" i="1"/>
  <c r="N516" i="1"/>
  <c r="I384" i="1"/>
  <c r="J288" i="1"/>
  <c r="J272" i="1"/>
  <c r="I136" i="1"/>
  <c r="L1372" i="1"/>
  <c r="G15" i="3"/>
  <c r="G13" i="3"/>
  <c r="G12" i="3"/>
  <c r="F18" i="3"/>
  <c r="F14" i="3"/>
  <c r="F13" i="3"/>
  <c r="F17" i="3"/>
  <c r="G17" i="3"/>
  <c r="G16" i="3"/>
  <c r="R1352" i="1"/>
  <c r="K1320" i="1"/>
  <c r="G1312" i="1"/>
  <c r="J1296" i="1"/>
  <c r="K1292" i="1"/>
  <c r="K1220" i="1"/>
  <c r="J1140" i="1"/>
  <c r="K1104" i="1"/>
  <c r="H928" i="1"/>
  <c r="H804" i="1"/>
  <c r="K788" i="1"/>
  <c r="J488" i="1"/>
  <c r="I436" i="1"/>
  <c r="H176" i="1"/>
  <c r="H164" i="1"/>
  <c r="F136" i="1"/>
  <c r="D136" i="1"/>
  <c r="J83" i="1"/>
  <c r="N71" i="1"/>
  <c r="H940" i="1"/>
  <c r="I59" i="1"/>
  <c r="E772" i="1"/>
  <c r="D772" i="1"/>
  <c r="F77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Amol</author>
  </authors>
  <commentList>
    <comment ref="B436" authorId="0" shapeId="0" xr:uid="{149C6334-94E5-714A-A533-0F2698A3CE0C}">
      <text>
        <r>
          <rPr>
            <b/>
            <sz val="8"/>
            <color indexed="81"/>
            <rFont val="Tahoma"/>
            <family val="2"/>
          </rPr>
          <t>Amol:</t>
        </r>
        <r>
          <rPr>
            <sz val="8"/>
            <color indexed="81"/>
            <rFont val="Tahoma"/>
            <family val="2"/>
          </rPr>
          <t xml:space="preserve">
Dollar impl in FormulaEvaluator is little different hence the expected values are so. See dev documentation in java file.</t>
        </r>
      </text>
    </comment>
  </commentList>
</comments>
</file>

<file path=xl/sharedStrings.xml><?xml version="1.0" encoding="utf-8"?>
<sst xmlns="http://schemas.openxmlformats.org/spreadsheetml/2006/main" count="1508" uniqueCount="1249">
  <si>
    <t>EXPECTED VALUE</t>
  </si>
  <si>
    <t>Viewget</t>
  </si>
  <si>
    <t>FORMULA</t>
  </si>
  <si>
    <t>EXPECTED VALUE</t>
  </si>
  <si>
    <t>Vlookup</t>
  </si>
  <si>
    <t>FORMULA</t>
  </si>
  <si>
    <t>EXPECTED VALUE</t>
  </si>
  <si>
    <t>Volatile</t>
  </si>
  <si>
    <t>FORMULA</t>
  </si>
  <si>
    <t>EXPECTED VALUE</t>
  </si>
  <si>
    <t>Weekday</t>
  </si>
  <si>
    <t>FORMULA</t>
  </si>
  <si>
    <t>EXPECTED VALUE</t>
  </si>
  <si>
    <t>Weibull</t>
  </si>
  <si>
    <t>FORMULA</t>
  </si>
  <si>
    <t>EXPECTED VALUE</t>
  </si>
  <si>
    <t>Windows</t>
  </si>
  <si>
    <t>FORMULA</t>
  </si>
  <si>
    <t>EXPECTED VALUE</t>
  </si>
  <si>
    <t>Windowtitle</t>
  </si>
  <si>
    <t>FORMULA</t>
  </si>
  <si>
    <t>EXPECTED VALUE</t>
  </si>
  <si>
    <t>Year</t>
  </si>
  <si>
    <t>FORMULA</t>
  </si>
  <si>
    <t>EXPECTED VALUE</t>
  </si>
  <si>
    <t>NoN-Numeric</t>
  </si>
  <si>
    <t>ISCASESENSITIVE</t>
  </si>
  <si>
    <t>Teststr</t>
  </si>
  <si>
    <t>teststr</t>
  </si>
  <si>
    <t>testtestaatesttestbbtesttestcc</t>
  </si>
  <si>
    <t>matchlastchaR</t>
  </si>
  <si>
    <t>nomatch</t>
  </si>
  <si>
    <t>regexTTchars</t>
  </si>
  <si>
    <t>2.11</t>
  </si>
  <si>
    <t>testblankmatch</t>
  </si>
  <si>
    <t>***</t>
  </si>
  <si>
    <t>esblanknewsr</t>
  </si>
  <si>
    <t xml:space="preserve">  </t>
  </si>
  <si>
    <t>Small</t>
  </si>
  <si>
    <t>FORMULA</t>
  </si>
  <si>
    <t>EXPECTED VALUE</t>
  </si>
  <si>
    <t>Spellingcheck</t>
  </si>
  <si>
    <t>FORMULA</t>
  </si>
  <si>
    <t>EXPECTED VALUE</t>
  </si>
  <si>
    <t>Sqrt</t>
  </si>
  <si>
    <t>FORMULA</t>
  </si>
  <si>
    <t>EXPECTED VALUE</t>
  </si>
  <si>
    <t>Standardize</t>
  </si>
  <si>
    <t>FORMULA</t>
  </si>
  <si>
    <t>EXPECTED VALUE</t>
  </si>
  <si>
    <t>Stdev</t>
  </si>
  <si>
    <t>FORMULA</t>
  </si>
  <si>
    <t>EXPECTED VALUE</t>
  </si>
  <si>
    <t>Stdeva</t>
  </si>
  <si>
    <t>FORMULA</t>
  </si>
  <si>
    <t>EXPECTED VALUE</t>
  </si>
  <si>
    <t>Stdevp</t>
  </si>
  <si>
    <t>FORMULA</t>
  </si>
  <si>
    <t>EXPECTED VALUE</t>
  </si>
  <si>
    <t>Stdevpa</t>
  </si>
  <si>
    <t>FORMULA</t>
  </si>
  <si>
    <t>EXPECTED VALUE</t>
  </si>
  <si>
    <t>Step</t>
  </si>
  <si>
    <t>FORMULA</t>
  </si>
  <si>
    <t>NOT_A_FUNCTION</t>
  </si>
  <si>
    <t>all upper</t>
  </si>
  <si>
    <t>mixedcase</t>
  </si>
  <si>
    <t>true</t>
  </si>
  <si>
    <t xml:space="preserve"> beginswithspace</t>
  </si>
  <si>
    <t>alph4num3ric</t>
  </si>
  <si>
    <t>r</t>
  </si>
  <si>
    <t>n</t>
  </si>
  <si>
    <t>y</t>
  </si>
  <si>
    <t>p</t>
  </si>
  <si>
    <t>t</t>
  </si>
  <si>
    <t>f</t>
  </si>
  <si>
    <t>FINANCE DATA</t>
  </si>
  <si>
    <t>v[]</t>
  </si>
  <si>
    <t>NPV</t>
  </si>
  <si>
    <t>avedev</t>
  </si>
  <si>
    <t>stdev</t>
  </si>
  <si>
    <t>devsq</t>
  </si>
  <si>
    <t>large</t>
  </si>
  <si>
    <t>small</t>
  </si>
  <si>
    <t>median</t>
  </si>
  <si>
    <t>mode</t>
  </si>
  <si>
    <t>string</t>
  </si>
  <si>
    <t>abc</t>
  </si>
  <si>
    <t>If</t>
  </si>
  <si>
    <t>error detected</t>
  </si>
  <si>
    <t xml:space="preserve">a </t>
  </si>
  <si>
    <t>a string</t>
  </si>
  <si>
    <t>a stri</t>
  </si>
  <si>
    <t>no</t>
  </si>
  <si>
    <t>a</t>
  </si>
  <si>
    <t>TR</t>
  </si>
  <si>
    <t>ng</t>
  </si>
  <si>
    <t>ce</t>
  </si>
  <si>
    <t>UE</t>
  </si>
  <si>
    <t>g</t>
  </si>
  <si>
    <t>endsWithSpace</t>
  </si>
  <si>
    <t>beginsWithSpace</t>
  </si>
  <si>
    <t>0</t>
  </si>
  <si>
    <t>0.000001</t>
  </si>
  <si>
    <t>1</t>
  </si>
  <si>
    <t>99999999</t>
  </si>
  <si>
    <t>EXPECTED VALUE</t>
  </si>
  <si>
    <t>Sumxmy2</t>
  </si>
  <si>
    <t>FORMULA</t>
  </si>
  <si>
    <t>EXPECTED VALUE</t>
  </si>
  <si>
    <t>Syd</t>
  </si>
  <si>
    <t>FORMULA</t>
  </si>
  <si>
    <t>EXPECTED VALUE</t>
  </si>
  <si>
    <t>T</t>
  </si>
  <si>
    <t>FORMULA</t>
  </si>
  <si>
    <t>EXPECTED VALUE</t>
  </si>
  <si>
    <t>Tan</t>
  </si>
  <si>
    <t>FORMULA</t>
  </si>
  <si>
    <t>EXPECTED VALUE</t>
  </si>
  <si>
    <t>Tanh</t>
  </si>
  <si>
    <t>FORMULA</t>
  </si>
  <si>
    <t>EXPECTED VALUE</t>
  </si>
  <si>
    <t>Tdist</t>
  </si>
  <si>
    <t>FORMULA</t>
  </si>
  <si>
    <t>EXPECTED VALUE</t>
  </si>
  <si>
    <t>Terminate</t>
  </si>
  <si>
    <t>FORMULA</t>
  </si>
  <si>
    <t>EXPECTED VALUE</t>
  </si>
  <si>
    <t>Text</t>
  </si>
  <si>
    <t>FORMULA</t>
  </si>
  <si>
    <t>EXPECTED VALUE</t>
  </si>
  <si>
    <t>Textbox</t>
  </si>
  <si>
    <t>FORMULA</t>
  </si>
  <si>
    <t>Textref</t>
  </si>
  <si>
    <t>FORMULA</t>
  </si>
  <si>
    <t>EXPECTED VALUE</t>
  </si>
  <si>
    <t>Time</t>
  </si>
  <si>
    <t>FORMULA</t>
  </si>
  <si>
    <t>EXPECTED VALUE</t>
  </si>
  <si>
    <t>Timevalue</t>
  </si>
  <si>
    <t>FORMULA</t>
  </si>
  <si>
    <t>EXPECTED VALUE</t>
  </si>
  <si>
    <t>Tinv</t>
  </si>
  <si>
    <t>FORMULA</t>
  </si>
  <si>
    <t>EXPECTED VALUE</t>
  </si>
  <si>
    <t>Today</t>
  </si>
  <si>
    <t>FORMULA</t>
  </si>
  <si>
    <t>EXPECTED VALUE</t>
  </si>
  <si>
    <t>Transpose</t>
  </si>
  <si>
    <t>FORMULA</t>
  </si>
  <si>
    <t>EXPECTED VALUE</t>
  </si>
  <si>
    <t>Trend</t>
  </si>
  <si>
    <t>FORMULA</t>
  </si>
  <si>
    <t>EXPECTED VALUE</t>
  </si>
  <si>
    <t>Trim</t>
  </si>
  <si>
    <t>Trimmean</t>
  </si>
  <si>
    <t>FORMULA</t>
  </si>
  <si>
    <t>EXPECTED VALUE</t>
  </si>
  <si>
    <t>FORMULA</t>
  </si>
  <si>
    <t>EXPECTED VALUE</t>
  </si>
  <si>
    <t>Trunc</t>
  </si>
  <si>
    <t>FORMULA</t>
  </si>
  <si>
    <t>EXPECTED VALUE</t>
  </si>
  <si>
    <t>Ttest</t>
  </si>
  <si>
    <t>FORMULA</t>
  </si>
  <si>
    <t>EXPECTED VALUE</t>
  </si>
  <si>
    <t>Type</t>
  </si>
  <si>
    <t>FORMULA</t>
  </si>
  <si>
    <t>EXPECTED VALUE</t>
  </si>
  <si>
    <t>Unregister</t>
  </si>
  <si>
    <t>FORMULA</t>
  </si>
  <si>
    <t>EXPECTED VALUE</t>
  </si>
  <si>
    <t>Upper</t>
  </si>
  <si>
    <t>FORMULA</t>
  </si>
  <si>
    <t>EXPECTED VALUE</t>
  </si>
  <si>
    <t>Usdollar</t>
  </si>
  <si>
    <t>FORMULA</t>
  </si>
  <si>
    <t>EXPECTED VALUE</t>
  </si>
  <si>
    <t>Value</t>
  </si>
  <si>
    <t>FORMULA</t>
  </si>
  <si>
    <t>EXPECTED VALUE</t>
  </si>
  <si>
    <t>Var</t>
  </si>
  <si>
    <t>FORMULA</t>
  </si>
  <si>
    <t>EXPECTED VALUE</t>
  </si>
  <si>
    <t>Vara</t>
  </si>
  <si>
    <t>FORMULA</t>
  </si>
  <si>
    <t>EXPECTED VALUE</t>
  </si>
  <si>
    <t>Varp</t>
  </si>
  <si>
    <t>FORMULA</t>
  </si>
  <si>
    <t>EXPECTED VALUE</t>
  </si>
  <si>
    <t>Varpa</t>
  </si>
  <si>
    <t>FORMULA</t>
  </si>
  <si>
    <t>EXPECTED VALUE</t>
  </si>
  <si>
    <t>Vdb</t>
  </si>
  <si>
    <t>FORMULA</t>
  </si>
  <si>
    <t>FORMULA</t>
  </si>
  <si>
    <t>EXPECTED VALUE</t>
  </si>
  <si>
    <t>Product</t>
  </si>
  <si>
    <t>FORMULA</t>
  </si>
  <si>
    <t>EXPECTED VALUE</t>
  </si>
  <si>
    <t>Proper</t>
  </si>
  <si>
    <t>FORMULA</t>
  </si>
  <si>
    <t>EXPECTED VALUE</t>
  </si>
  <si>
    <t>Pv</t>
  </si>
  <si>
    <t>FORMULA</t>
  </si>
  <si>
    <t>EXPECTED VALUE</t>
  </si>
  <si>
    <t>Quartile</t>
  </si>
  <si>
    <t>FORMULA</t>
  </si>
  <si>
    <t>EXPECTED VALUE</t>
  </si>
  <si>
    <t>Radians</t>
  </si>
  <si>
    <t>FORMULA</t>
  </si>
  <si>
    <t>EXPECTED VALUE</t>
  </si>
  <si>
    <t>Rand</t>
  </si>
  <si>
    <t>FORMULA</t>
  </si>
  <si>
    <t>EXPECTED VALUE</t>
  </si>
  <si>
    <t>Rank</t>
  </si>
  <si>
    <t>FORMULA</t>
  </si>
  <si>
    <t>EXPECTED VALUE</t>
  </si>
  <si>
    <t>Rate</t>
  </si>
  <si>
    <t>FORMULA</t>
  </si>
  <si>
    <t>EXPECTED VALUE</t>
  </si>
  <si>
    <t>Reftext</t>
  </si>
  <si>
    <t>Ztest</t>
  </si>
  <si>
    <t>FORMULA</t>
  </si>
  <si>
    <t>EXPECTED VALUE</t>
  </si>
  <si>
    <t>01</t>
  </si>
  <si>
    <t>2hello world</t>
  </si>
  <si>
    <t>its TRUE blue</t>
  </si>
  <si>
    <t>99999999990alph4Num3ric</t>
  </si>
  <si>
    <t/>
  </si>
  <si>
    <t>THIS IS ALL LOWER</t>
  </si>
  <si>
    <t>123 456</t>
  </si>
  <si>
    <t>ASDFGH</t>
  </si>
  <si>
    <t>123</t>
  </si>
  <si>
    <t>534</t>
  </si>
  <si>
    <t>TRUE</t>
  </si>
  <si>
    <t xml:space="preserve"> BEGINSWITHSPACE</t>
  </si>
  <si>
    <t>ALPH4NUM3RIC</t>
  </si>
  <si>
    <t>ALPHANUM</t>
  </si>
  <si>
    <t>1.1</t>
  </si>
  <si>
    <t>2.99999</t>
  </si>
  <si>
    <t>0-1</t>
  </si>
  <si>
    <t>TRUETRUE</t>
  </si>
  <si>
    <t>1.1-2FALSE</t>
  </si>
  <si>
    <t>sp ace ssp ace s</t>
  </si>
  <si>
    <t>2.999991.1</t>
  </si>
  <si>
    <t>ric1.1-2FALSE</t>
  </si>
  <si>
    <t>WILL_NEVER_IMPLEMENT</t>
  </si>
  <si>
    <t>CANNOT_TEST</t>
  </si>
  <si>
    <t>Resettoolbar</t>
  </si>
  <si>
    <t>FORMULA</t>
  </si>
  <si>
    <t>EXPECTED VALUE</t>
  </si>
  <si>
    <t>Restart</t>
  </si>
  <si>
    <t>FORMULA</t>
  </si>
  <si>
    <t>EXPECTED VALUE</t>
  </si>
  <si>
    <t>Result</t>
  </si>
  <si>
    <t>FORMULA</t>
  </si>
  <si>
    <t>EXPECTED VALUE</t>
  </si>
  <si>
    <t>Resume</t>
  </si>
  <si>
    <t>FORMULA</t>
  </si>
  <si>
    <t>EXPECTED VALUE</t>
  </si>
  <si>
    <t>Right</t>
  </si>
  <si>
    <t>FORMULA</t>
  </si>
  <si>
    <t>EXPECTED VALUE</t>
  </si>
  <si>
    <t>Rightb</t>
  </si>
  <si>
    <t>FORMULA</t>
  </si>
  <si>
    <t>EXPECTED VALUE</t>
  </si>
  <si>
    <t>Roman</t>
  </si>
  <si>
    <t>FORMULA</t>
  </si>
  <si>
    <t>EXPECTED VALUE</t>
  </si>
  <si>
    <t>Round</t>
  </si>
  <si>
    <t>FORMULA</t>
  </si>
  <si>
    <t>EXPECTED VALUE</t>
  </si>
  <si>
    <t>Rounddown</t>
  </si>
  <si>
    <t>FORMULA</t>
  </si>
  <si>
    <t>EXPECTED VALUE</t>
  </si>
  <si>
    <t>Roundup</t>
  </si>
  <si>
    <t>FORMULA</t>
  </si>
  <si>
    <t>EXPECTED VALUE</t>
  </si>
  <si>
    <t>Row</t>
  </si>
  <si>
    <t>FORMULA</t>
  </si>
  <si>
    <t>EXPECTED VALUE</t>
  </si>
  <si>
    <t>Rows</t>
  </si>
  <si>
    <t>FORMULA</t>
  </si>
  <si>
    <t>EXPECTED VALUE</t>
  </si>
  <si>
    <t>Rsq</t>
  </si>
  <si>
    <t>FORMULA</t>
  </si>
  <si>
    <t>EXPECTED VALUE</t>
  </si>
  <si>
    <t>Savedialog</t>
  </si>
  <si>
    <t>FORMULA</t>
  </si>
  <si>
    <t>EXPECTED VALUE</t>
  </si>
  <si>
    <t>Savetoolbar</t>
  </si>
  <si>
    <t>FORMULA</t>
  </si>
  <si>
    <t>EXPECTED VALUE</t>
  </si>
  <si>
    <t>Scenarioget</t>
  </si>
  <si>
    <t>FORMULA</t>
  </si>
  <si>
    <t>EXPECTED VALUE</t>
  </si>
  <si>
    <t>Search</t>
  </si>
  <si>
    <t>FORMULA</t>
  </si>
  <si>
    <t>EXPECTED VALUE</t>
  </si>
  <si>
    <t>Searchb</t>
  </si>
  <si>
    <t>FORMULA</t>
  </si>
  <si>
    <t>EXPECTED VALUE</t>
  </si>
  <si>
    <t>Second</t>
  </si>
  <si>
    <t>FORMULA</t>
  </si>
  <si>
    <t>EXPECTED VALUE</t>
  </si>
  <si>
    <t>Selection</t>
  </si>
  <si>
    <t>FORMULA</t>
  </si>
  <si>
    <t>EXPECTED VALUE</t>
  </si>
  <si>
    <t>Series</t>
  </si>
  <si>
    <t>FORMULA</t>
  </si>
  <si>
    <t>EXPECTED VALUE</t>
  </si>
  <si>
    <t>Setname</t>
  </si>
  <si>
    <t>FORMULA</t>
  </si>
  <si>
    <t>EXPECTED VALUE</t>
  </si>
  <si>
    <t>Setvalue</t>
  </si>
  <si>
    <t>FORMULA</t>
  </si>
  <si>
    <t>EXPECTED VALUE</t>
  </si>
  <si>
    <t>Showbar</t>
  </si>
  <si>
    <t>FORMULA</t>
  </si>
  <si>
    <t>EXPECTED VALUE</t>
  </si>
  <si>
    <t>Sign</t>
  </si>
  <si>
    <t>FORMULA</t>
  </si>
  <si>
    <t>EXPECTED VALUE</t>
  </si>
  <si>
    <t>Sin</t>
  </si>
  <si>
    <t>FORMULA</t>
  </si>
  <si>
    <t>EXPECTED VALUE</t>
  </si>
  <si>
    <t>Sinh</t>
  </si>
  <si>
    <t>FORMULA</t>
  </si>
  <si>
    <t>EXPECTED VALUE</t>
  </si>
  <si>
    <t>Skew</t>
  </si>
  <si>
    <t>FORMULA</t>
  </si>
  <si>
    <t>EXPECTED VALUE</t>
  </si>
  <si>
    <t>Sln</t>
  </si>
  <si>
    <t>FORMULA</t>
  </si>
  <si>
    <t>EXPECTED VALUE</t>
  </si>
  <si>
    <t>Slope</t>
  </si>
  <si>
    <t>FORMULA</t>
  </si>
  <si>
    <t>EXPECTED VALUE</t>
  </si>
  <si>
    <t>FORMULA</t>
  </si>
  <si>
    <t>EXPECTED VALUE</t>
  </si>
  <si>
    <t>Mdeterm</t>
  </si>
  <si>
    <t>FORMULA</t>
  </si>
  <si>
    <t>EXPECTED VALUE</t>
  </si>
  <si>
    <t>Median</t>
  </si>
  <si>
    <t>FORMULA</t>
  </si>
  <si>
    <t>EXPECTED VALUE</t>
  </si>
  <si>
    <t>Mid</t>
  </si>
  <si>
    <t>FORMULA</t>
  </si>
  <si>
    <t>EXPECTED VALUE</t>
  </si>
  <si>
    <t>Midb</t>
  </si>
  <si>
    <t>FORMULA</t>
  </si>
  <si>
    <t>EXPECTED VALUE</t>
  </si>
  <si>
    <t>Min</t>
  </si>
  <si>
    <t>FORMULA</t>
  </si>
  <si>
    <t>EXPECTED VALUE</t>
  </si>
  <si>
    <t>Mina</t>
  </si>
  <si>
    <t>FORMULA</t>
  </si>
  <si>
    <t>EXPECTED VALUE</t>
  </si>
  <si>
    <t>Minute</t>
  </si>
  <si>
    <t>FORMULA</t>
  </si>
  <si>
    <t>EXPECTED VALUE</t>
  </si>
  <si>
    <t>Minverse</t>
  </si>
  <si>
    <t>FORMULA</t>
  </si>
  <si>
    <t>EXPECTED VALUE</t>
  </si>
  <si>
    <t>Mirr</t>
  </si>
  <si>
    <t>EXPECTED VALUE</t>
  </si>
  <si>
    <t>Steyx</t>
  </si>
  <si>
    <t>FORMULA</t>
  </si>
  <si>
    <t>EXPECTED VALUE</t>
  </si>
  <si>
    <t>Substitute</t>
  </si>
  <si>
    <t>Subtotal</t>
  </si>
  <si>
    <t>FORMULA</t>
  </si>
  <si>
    <t>EXPECTED VALUE</t>
  </si>
  <si>
    <t>Sum</t>
  </si>
  <si>
    <t>FORMULA</t>
  </si>
  <si>
    <t>EXPECTED VALUE</t>
  </si>
  <si>
    <t>Sumif</t>
  </si>
  <si>
    <t>FORMULA</t>
  </si>
  <si>
    <t>EXPECTED VALUE</t>
  </si>
  <si>
    <t>Sumproduct</t>
  </si>
  <si>
    <t>FORMULA</t>
  </si>
  <si>
    <t>EXPECTED VALUE</t>
  </si>
  <si>
    <t>Sumsq</t>
  </si>
  <si>
    <t>FORMULA</t>
  </si>
  <si>
    <t>EXPECTED VALUE</t>
  </si>
  <si>
    <t>Sumx2my2</t>
  </si>
  <si>
    <t>FORMULA</t>
  </si>
  <si>
    <t>EXPECTED VALUE</t>
  </si>
  <si>
    <t>Sumx2py2</t>
  </si>
  <si>
    <t>FORMULA</t>
  </si>
  <si>
    <t>FORMULA</t>
  </si>
  <si>
    <t>EXPECTED VALUE</t>
  </si>
  <si>
    <t>Normdist</t>
  </si>
  <si>
    <t>FORMULA</t>
  </si>
  <si>
    <t>EXPECTED VALUE</t>
  </si>
  <si>
    <t>Norminv</t>
  </si>
  <si>
    <t>FORMULA</t>
  </si>
  <si>
    <t>EXPECTED VALUE</t>
  </si>
  <si>
    <t>Normsdist</t>
  </si>
  <si>
    <t>FORMULA</t>
  </si>
  <si>
    <t>EXPECTED VALUE</t>
  </si>
  <si>
    <t>Normsinv</t>
  </si>
  <si>
    <t>FORMULA</t>
  </si>
  <si>
    <t>EXPECTED VALUE</t>
  </si>
  <si>
    <t>Not</t>
  </si>
  <si>
    <t>FORMULA</t>
  </si>
  <si>
    <t>EXPECTED VALUE</t>
  </si>
  <si>
    <t>Note</t>
  </si>
  <si>
    <t>FORMULA</t>
  </si>
  <si>
    <t>EXPECTED VALUE</t>
  </si>
  <si>
    <t>Now</t>
  </si>
  <si>
    <t>FORMULA</t>
  </si>
  <si>
    <t>EXPECTED VALUE</t>
  </si>
  <si>
    <t>Nper</t>
  </si>
  <si>
    <t>FORMULA</t>
  </si>
  <si>
    <t>EXPECTED VALUE</t>
  </si>
  <si>
    <t>Npv</t>
  </si>
  <si>
    <t>FORMULA</t>
  </si>
  <si>
    <t>EXPECTED VALUE</t>
  </si>
  <si>
    <t>Numberstring</t>
  </si>
  <si>
    <t>FORMULA</t>
  </si>
  <si>
    <t>EXPECTED VALUE</t>
  </si>
  <si>
    <t>Odd</t>
  </si>
  <si>
    <t>FORMULA</t>
  </si>
  <si>
    <t>EXPECTED VALUE</t>
  </si>
  <si>
    <t>Offset</t>
  </si>
  <si>
    <t>FORMULA</t>
  </si>
  <si>
    <t>EXPECTED VALUE</t>
  </si>
  <si>
    <t>Opendialog</t>
  </si>
  <si>
    <t>FORMULA</t>
  </si>
  <si>
    <t>EXPECTED VALUE</t>
  </si>
  <si>
    <t>Optionslistsget</t>
  </si>
  <si>
    <t>FORMULA</t>
  </si>
  <si>
    <t>EXPECTED VALUE</t>
  </si>
  <si>
    <t>Or</t>
  </si>
  <si>
    <t>FORMULA</t>
  </si>
  <si>
    <t>EXPECTED VALUE</t>
  </si>
  <si>
    <t>Pause</t>
  </si>
  <si>
    <t>FORMULA</t>
  </si>
  <si>
    <t>EXPECTED VALUE</t>
  </si>
  <si>
    <t>Pearson</t>
  </si>
  <si>
    <t>FORMULA</t>
  </si>
  <si>
    <t>EXPECTED VALUE</t>
  </si>
  <si>
    <t>Percentile</t>
  </si>
  <si>
    <t>FORMULA</t>
  </si>
  <si>
    <t>EXPECTED VALUE</t>
  </si>
  <si>
    <t>Percentrank</t>
  </si>
  <si>
    <t>FORMULA</t>
  </si>
  <si>
    <t>EXPECTED VALUE</t>
  </si>
  <si>
    <t>Permut</t>
  </si>
  <si>
    <t>FORMULA</t>
  </si>
  <si>
    <t>EXPECTED VALUE</t>
  </si>
  <si>
    <t>Phonetic</t>
  </si>
  <si>
    <t>FORMULA</t>
  </si>
  <si>
    <t>EXPECTED VALUE</t>
  </si>
  <si>
    <t>Pi</t>
  </si>
  <si>
    <t>FORMULA</t>
  </si>
  <si>
    <t>EXPECTED VALUE</t>
  </si>
  <si>
    <t>Pivotadddata</t>
  </si>
  <si>
    <t>FORMULA</t>
  </si>
  <si>
    <t>EXPECTED VALUE</t>
  </si>
  <si>
    <t>Pmt</t>
  </si>
  <si>
    <t>FORMULA</t>
  </si>
  <si>
    <t>EXPECTED VALUE</t>
  </si>
  <si>
    <t>Poisson</t>
  </si>
  <si>
    <t>FORMULA</t>
  </si>
  <si>
    <t>EXPECTED VALUE</t>
  </si>
  <si>
    <t>Poke</t>
  </si>
  <si>
    <t>FORMULA</t>
  </si>
  <si>
    <t>EXPECTED VALUE</t>
  </si>
  <si>
    <t>Power</t>
  </si>
  <si>
    <t>FORMULA</t>
  </si>
  <si>
    <t>EXPECTED VALUE</t>
  </si>
  <si>
    <t>Ppmt</t>
  </si>
  <si>
    <t>FORMULA</t>
  </si>
  <si>
    <t>EXPECTED VALUE</t>
  </si>
  <si>
    <t>Presstool</t>
  </si>
  <si>
    <t>FORMULA</t>
  </si>
  <si>
    <t>EXPECTED VALUE</t>
  </si>
  <si>
    <t>Prob</t>
  </si>
  <si>
    <t>EXPECTED VALUE</t>
  </si>
  <si>
    <t>Goto</t>
  </si>
  <si>
    <t>FORMULA</t>
  </si>
  <si>
    <t>EXPECTED VALUE</t>
  </si>
  <si>
    <t>Group</t>
  </si>
  <si>
    <t>FORMULA</t>
  </si>
  <si>
    <t>EXPECTED VALUE</t>
  </si>
  <si>
    <t>Growth</t>
  </si>
  <si>
    <t>FORMULA</t>
  </si>
  <si>
    <t>EXPECTED VALUE</t>
  </si>
  <si>
    <t>Halt</t>
  </si>
  <si>
    <t>FORMULA</t>
  </si>
  <si>
    <t>EXPECTED VALUE</t>
  </si>
  <si>
    <t>Harmean</t>
  </si>
  <si>
    <t>FORMULA</t>
  </si>
  <si>
    <t>EXPECTED VALUE</t>
  </si>
  <si>
    <t>Help</t>
  </si>
  <si>
    <t>FORMULA</t>
  </si>
  <si>
    <t>EXPECTED VALUE</t>
  </si>
  <si>
    <t>Hlookup</t>
  </si>
  <si>
    <t>FORMULA</t>
  </si>
  <si>
    <t>EXPECTED VALUE</t>
  </si>
  <si>
    <t>Hour</t>
  </si>
  <si>
    <t>FORMULA</t>
  </si>
  <si>
    <t>EXPECTED VALUE</t>
  </si>
  <si>
    <t>Hyperlink</t>
  </si>
  <si>
    <t>FORMULA</t>
  </si>
  <si>
    <t>EXPECTED VALUE</t>
  </si>
  <si>
    <t>Register</t>
  </si>
  <si>
    <t>FORMULA</t>
  </si>
  <si>
    <t>EXPECTED VALUE</t>
  </si>
  <si>
    <t>Registerid</t>
  </si>
  <si>
    <t>FORMULA</t>
  </si>
  <si>
    <t>EXPECTED VALUE</t>
  </si>
  <si>
    <t>Relref</t>
  </si>
  <si>
    <t>FORMULA</t>
  </si>
  <si>
    <t>EXPECTED VALUE</t>
  </si>
  <si>
    <t>Renamecommand</t>
  </si>
  <si>
    <t>FORMULA</t>
  </si>
  <si>
    <t>EXPECTED VALUE</t>
  </si>
  <si>
    <t>Replace</t>
  </si>
  <si>
    <t>FORMULA</t>
  </si>
  <si>
    <t>EXPECTED VALUE</t>
  </si>
  <si>
    <t>Replaceb</t>
  </si>
  <si>
    <t>FORMULA</t>
  </si>
  <si>
    <t>EXPECTED VALUE</t>
  </si>
  <si>
    <t>Rept</t>
  </si>
  <si>
    <t>FORMULA</t>
  </si>
  <si>
    <t>EXPECTED VALUE</t>
  </si>
  <si>
    <t>Request</t>
  </si>
  <si>
    <t>FORMULA</t>
  </si>
  <si>
    <t>EXPECTED VALUE</t>
  </si>
  <si>
    <t>FORMULA</t>
  </si>
  <si>
    <t>EXPECTED VALUE</t>
  </si>
  <si>
    <t>Irr</t>
  </si>
  <si>
    <t>FORMULA</t>
  </si>
  <si>
    <t>EXPECTED VALUE</t>
  </si>
  <si>
    <t>Isblank</t>
  </si>
  <si>
    <t>FORMULA</t>
  </si>
  <si>
    <t>EXPECTED VALUE</t>
  </si>
  <si>
    <t>Iserr</t>
  </si>
  <si>
    <t>FORMULA</t>
  </si>
  <si>
    <t>EXPECTED VALUE</t>
  </si>
  <si>
    <t>IsError</t>
  </si>
  <si>
    <t>FORMULA</t>
  </si>
  <si>
    <t>EXPECTED VALUE</t>
  </si>
  <si>
    <t>Islogical</t>
  </si>
  <si>
    <t>FORMULA</t>
  </si>
  <si>
    <t>EXPECTED VALUE</t>
  </si>
  <si>
    <t>IsNa</t>
  </si>
  <si>
    <t>FORMULA</t>
  </si>
  <si>
    <t>EXPECTED VALUE</t>
  </si>
  <si>
    <t>Isnontext</t>
  </si>
  <si>
    <t>FORMULA</t>
  </si>
  <si>
    <t>EXPECTED VALUE</t>
  </si>
  <si>
    <t>Isnumber</t>
  </si>
  <si>
    <t>FORMULA</t>
  </si>
  <si>
    <t>EXPECTED VALUE</t>
  </si>
  <si>
    <t>Ispmt</t>
  </si>
  <si>
    <t>FORMULA</t>
  </si>
  <si>
    <t>EXPECTED VALUE</t>
  </si>
  <si>
    <t>Isref</t>
  </si>
  <si>
    <t>FORMULA</t>
  </si>
  <si>
    <t>EXPECTED VALUE</t>
  </si>
  <si>
    <t>Istext</t>
  </si>
  <si>
    <t>FORMULA</t>
  </si>
  <si>
    <t>EXPECTED VALUE</t>
  </si>
  <si>
    <t>Kurt</t>
  </si>
  <si>
    <t>FORMULA</t>
  </si>
  <si>
    <t>EXPECTED VALUE</t>
  </si>
  <si>
    <t>Large</t>
  </si>
  <si>
    <t>FORMULA</t>
  </si>
  <si>
    <t>EXPECTED VALUE</t>
  </si>
  <si>
    <t>Lasterror</t>
  </si>
  <si>
    <t>FORMULA</t>
  </si>
  <si>
    <t>EXPECTED VALUE</t>
  </si>
  <si>
    <t>Left</t>
  </si>
  <si>
    <t>FORMULA</t>
  </si>
  <si>
    <t>EXPECTED VALUE</t>
  </si>
  <si>
    <t>Leftb</t>
  </si>
  <si>
    <t>FORMULA</t>
  </si>
  <si>
    <t>EXPECTED VALUE</t>
  </si>
  <si>
    <t>Len</t>
  </si>
  <si>
    <t>FORMULA</t>
  </si>
  <si>
    <t>EXPECTED VALUE</t>
  </si>
  <si>
    <t>Lenb</t>
  </si>
  <si>
    <t>FORMULA</t>
  </si>
  <si>
    <t>EXPECTED VALUE</t>
  </si>
  <si>
    <t>Linest</t>
  </si>
  <si>
    <t>FORMULA</t>
  </si>
  <si>
    <t>EXPECTED VALUE</t>
  </si>
  <si>
    <t>Links</t>
  </si>
  <si>
    <t>FORMULA</t>
  </si>
  <si>
    <t>EXPECTED VALUE</t>
  </si>
  <si>
    <t>Ln</t>
  </si>
  <si>
    <t>FORMULA</t>
  </si>
  <si>
    <t>EXPECTED VALUE</t>
  </si>
  <si>
    <t>Log</t>
  </si>
  <si>
    <t>FORMULA</t>
  </si>
  <si>
    <t>EXPECTED VALUE</t>
  </si>
  <si>
    <t>Log10</t>
  </si>
  <si>
    <t>FORMULA</t>
  </si>
  <si>
    <t>EXPECTED VALUE</t>
  </si>
  <si>
    <t>Logest</t>
  </si>
  <si>
    <t>FORMULA</t>
  </si>
  <si>
    <t>EXPECTED VALUE</t>
  </si>
  <si>
    <t>Loginv</t>
  </si>
  <si>
    <t>FORMULA</t>
  </si>
  <si>
    <t>EXPECTED VALUE</t>
  </si>
  <si>
    <t>Lognormdist</t>
  </si>
  <si>
    <t>FORMULA</t>
  </si>
  <si>
    <t>EXPECTED VALUE</t>
  </si>
  <si>
    <t>Lookup</t>
  </si>
  <si>
    <t>FORMULA</t>
  </si>
  <si>
    <t>EXPECTED VALUE</t>
  </si>
  <si>
    <t>Lower</t>
  </si>
  <si>
    <t>FORMULA</t>
  </si>
  <si>
    <t>EXPECTED VALUE</t>
  </si>
  <si>
    <t>Match</t>
  </si>
  <si>
    <t>FORMULA</t>
  </si>
  <si>
    <t>EXPECTED VALUE</t>
  </si>
  <si>
    <t>Max</t>
  </si>
  <si>
    <t>FORMULA</t>
  </si>
  <si>
    <t>EXPECTED VALUE</t>
  </si>
  <si>
    <t>Maxa</t>
  </si>
  <si>
    <t>EXPECTED VALUE</t>
  </si>
  <si>
    <t>FORMULA</t>
  </si>
  <si>
    <t>EXPECTED VALUE</t>
  </si>
  <si>
    <t>Fclose</t>
  </si>
  <si>
    <t>FORMULA</t>
  </si>
  <si>
    <t>EXPECTED VALUE</t>
  </si>
  <si>
    <t>Fdist</t>
  </si>
  <si>
    <t>FORMULA</t>
  </si>
  <si>
    <t>EXPECTED VALUE</t>
  </si>
  <si>
    <t>Files</t>
  </si>
  <si>
    <t>FORMULA</t>
  </si>
  <si>
    <t>EXPECTED VALUE</t>
  </si>
  <si>
    <t>Find</t>
  </si>
  <si>
    <t>FORMULA</t>
  </si>
  <si>
    <t>EXPECTED VALUE</t>
  </si>
  <si>
    <t>Findb</t>
  </si>
  <si>
    <t>FORMULA</t>
  </si>
  <si>
    <t>EXPECTED VALUE</t>
  </si>
  <si>
    <t>Finv</t>
  </si>
  <si>
    <t>FORMULA</t>
  </si>
  <si>
    <t>EXPECTED VALUE</t>
  </si>
  <si>
    <t>Fisher</t>
  </si>
  <si>
    <t>FORMULA</t>
  </si>
  <si>
    <t>EXPECTED VALUE</t>
  </si>
  <si>
    <t>Fisherinv</t>
  </si>
  <si>
    <t>FORMULA</t>
  </si>
  <si>
    <t>FORMULA</t>
  </si>
  <si>
    <t>EXPECTED VALUE</t>
  </si>
  <si>
    <t>Mmult</t>
  </si>
  <si>
    <t>FORMULA</t>
  </si>
  <si>
    <t>EXPECTED VALUE</t>
  </si>
  <si>
    <t>Mod</t>
  </si>
  <si>
    <t>FORMULA</t>
  </si>
  <si>
    <t>EXPECTED VALUE</t>
  </si>
  <si>
    <t>Mode</t>
  </si>
  <si>
    <t>FORMULA</t>
  </si>
  <si>
    <t>EXPECTED VALUE</t>
  </si>
  <si>
    <t>Month</t>
  </si>
  <si>
    <t>FORMULA</t>
  </si>
  <si>
    <t>EXPECTED VALUE</t>
  </si>
  <si>
    <t>Moviecommand</t>
  </si>
  <si>
    <t>FORMULA</t>
  </si>
  <si>
    <t>EXPECTED VALUE</t>
  </si>
  <si>
    <t>N</t>
  </si>
  <si>
    <t>FORMULA</t>
  </si>
  <si>
    <t>EXPECTED VALUE</t>
  </si>
  <si>
    <t>Na</t>
  </si>
  <si>
    <t>FORMULA</t>
  </si>
  <si>
    <t>EXPECTED VALUE</t>
  </si>
  <si>
    <t>Names</t>
  </si>
  <si>
    <t>FORMULA</t>
  </si>
  <si>
    <t>EXPECTED VALUE</t>
  </si>
  <si>
    <t>Negbinomdist</t>
  </si>
  <si>
    <t>EXPECTED VALUE</t>
  </si>
  <si>
    <t>Fsize</t>
  </si>
  <si>
    <t>FORMULA</t>
  </si>
  <si>
    <t>EXPECTED VALUE</t>
  </si>
  <si>
    <t>Ftest</t>
  </si>
  <si>
    <t>FORMULA</t>
  </si>
  <si>
    <t>EXPECTED VALUE</t>
  </si>
  <si>
    <t>Fv</t>
  </si>
  <si>
    <t>FORMULA</t>
  </si>
  <si>
    <t>EXPECTED VALUE</t>
  </si>
  <si>
    <t>Fwrite</t>
  </si>
  <si>
    <t>FORMULA</t>
  </si>
  <si>
    <t>EXPECTED VALUE</t>
  </si>
  <si>
    <t>Fwriteln</t>
  </si>
  <si>
    <t>FORMULA</t>
  </si>
  <si>
    <t>EXPECTED VALUE</t>
  </si>
  <si>
    <t>Gammadist</t>
  </si>
  <si>
    <t>FORMULA</t>
  </si>
  <si>
    <t>EXPECTED VALUE</t>
  </si>
  <si>
    <t>Gammainv</t>
  </si>
  <si>
    <t>FORMULA</t>
  </si>
  <si>
    <t>EXPECTED VALUE</t>
  </si>
  <si>
    <t>Gammaln</t>
  </si>
  <si>
    <t>FORMULA</t>
  </si>
  <si>
    <t>EXPECTED VALUE</t>
  </si>
  <si>
    <t>Geomean</t>
  </si>
  <si>
    <t>FORMULA</t>
  </si>
  <si>
    <t>EXPECTED VALUE</t>
  </si>
  <si>
    <t>Getbar</t>
  </si>
  <si>
    <t>FORMULA</t>
  </si>
  <si>
    <t>EXPECTED VALUE</t>
  </si>
  <si>
    <t>Getcell</t>
  </si>
  <si>
    <t>FORMULA</t>
  </si>
  <si>
    <t>EXPECTED VALUE</t>
  </si>
  <si>
    <t>Getchartitem</t>
  </si>
  <si>
    <t>FORMULA</t>
  </si>
  <si>
    <t>EXPECTED VALUE</t>
  </si>
  <si>
    <t>Getdef</t>
  </si>
  <si>
    <t>FORMULA</t>
  </si>
  <si>
    <t>EXPECTED VALUE</t>
  </si>
  <si>
    <t>Getdocument</t>
  </si>
  <si>
    <t>FORMULA</t>
  </si>
  <si>
    <t>EXPECTED VALUE</t>
  </si>
  <si>
    <t>Getformula</t>
  </si>
  <si>
    <t>FORMULA</t>
  </si>
  <si>
    <t>EXPECTED VALUE</t>
  </si>
  <si>
    <t>Getlinkinfo</t>
  </si>
  <si>
    <t>FORMULA</t>
  </si>
  <si>
    <t>EXPECTED VALUE</t>
  </si>
  <si>
    <t>Getmovie</t>
  </si>
  <si>
    <t>FORMULA</t>
  </si>
  <si>
    <t>EXPECTED VALUE</t>
  </si>
  <si>
    <t>Getname</t>
  </si>
  <si>
    <t>FORMULA</t>
  </si>
  <si>
    <t>EXPECTED VALUE</t>
  </si>
  <si>
    <t>Getnote</t>
  </si>
  <si>
    <t>FORMULA</t>
  </si>
  <si>
    <t>EXPECTED VALUE</t>
  </si>
  <si>
    <t>Getobject</t>
  </si>
  <si>
    <t>FORMULA</t>
  </si>
  <si>
    <t>EXPECTED VALUE</t>
  </si>
  <si>
    <t>Getpivotdata</t>
  </si>
  <si>
    <t>FORMULA</t>
  </si>
  <si>
    <t>EXPECTED VALUE</t>
  </si>
  <si>
    <t>Getpivotfield</t>
  </si>
  <si>
    <t>FORMULA</t>
  </si>
  <si>
    <t>EXPECTED VALUE</t>
  </si>
  <si>
    <t>Getpivotitem</t>
  </si>
  <si>
    <t>FORMULA</t>
  </si>
  <si>
    <t>EXPECTED VALUE</t>
  </si>
  <si>
    <t>Getpivottable</t>
  </si>
  <si>
    <t>FORMULA</t>
  </si>
  <si>
    <t>EXPECTED VALUE</t>
  </si>
  <si>
    <t>Gettool</t>
  </si>
  <si>
    <t>FORMULA</t>
  </si>
  <si>
    <t>EXPECTED VALUE</t>
  </si>
  <si>
    <t>Gettoolbar</t>
  </si>
  <si>
    <t>FORMULA</t>
  </si>
  <si>
    <t>EXPECTED VALUE</t>
  </si>
  <si>
    <t>Getwindow</t>
  </si>
  <si>
    <t>FORMULA</t>
  </si>
  <si>
    <t>EXPECTED VALUE</t>
  </si>
  <si>
    <t>Getworkbook</t>
  </si>
  <si>
    <t>FORMULA</t>
  </si>
  <si>
    <t>EXPECTED VALUE</t>
  </si>
  <si>
    <t>Getworkspace</t>
  </si>
  <si>
    <t>FORMULA</t>
  </si>
  <si>
    <t>Customrepeat</t>
  </si>
  <si>
    <t>FORMULA</t>
  </si>
  <si>
    <t>EXPECTED VALUE</t>
  </si>
  <si>
    <t>Customundo</t>
  </si>
  <si>
    <t>FORMULA</t>
  </si>
  <si>
    <t>EXPECTED VALUE</t>
  </si>
  <si>
    <t>Date</t>
  </si>
  <si>
    <t>FORMULA</t>
  </si>
  <si>
    <t>EXPECTED VALUE</t>
  </si>
  <si>
    <t>Datedif</t>
  </si>
  <si>
    <t>FORMULA</t>
  </si>
  <si>
    <t>EXPECTED VALUE</t>
  </si>
  <si>
    <t>Datestring</t>
  </si>
  <si>
    <t>FORMULA</t>
  </si>
  <si>
    <t>EXPECTED VALUE</t>
  </si>
  <si>
    <t>Datevalue</t>
  </si>
  <si>
    <t>FORMULA</t>
  </si>
  <si>
    <t>EXPECTED VALUE</t>
  </si>
  <si>
    <t>Daverage</t>
  </si>
  <si>
    <t>FORMULA</t>
  </si>
  <si>
    <t>EXPECTED VALUE</t>
  </si>
  <si>
    <t>Day</t>
  </si>
  <si>
    <t>FORMULA</t>
  </si>
  <si>
    <t>EXPECTED VALUE</t>
  </si>
  <si>
    <t>Days360</t>
  </si>
  <si>
    <t>FORMULA</t>
  </si>
  <si>
    <t>FORMULA</t>
  </si>
  <si>
    <t>EXPECTED VALUE</t>
  </si>
  <si>
    <t>Hypgeomdist</t>
  </si>
  <si>
    <t>FORMULA</t>
  </si>
  <si>
    <t>EXPECTED VALUE</t>
  </si>
  <si>
    <t>Index</t>
  </si>
  <si>
    <t>FORMULA</t>
  </si>
  <si>
    <t>EXPECTED VALUE</t>
  </si>
  <si>
    <t>Indirect</t>
  </si>
  <si>
    <t>FORMULA</t>
  </si>
  <si>
    <t>EXPECTED VALUE</t>
  </si>
  <si>
    <t>Info</t>
  </si>
  <si>
    <t>FORMULA</t>
  </si>
  <si>
    <t>EXPECTED VALUE</t>
  </si>
  <si>
    <t>Initiate</t>
  </si>
  <si>
    <t>FORMULA</t>
  </si>
  <si>
    <t>EXPECTED VALUE</t>
  </si>
  <si>
    <t>Input</t>
  </si>
  <si>
    <t>FORMULA</t>
  </si>
  <si>
    <t>EXPECTED VALUE</t>
  </si>
  <si>
    <t>Int</t>
  </si>
  <si>
    <t>FORMULA</t>
  </si>
  <si>
    <t>EXPECTED VALUE</t>
  </si>
  <si>
    <t>Intercept</t>
  </si>
  <si>
    <t>FORMULA</t>
  </si>
  <si>
    <t>EXPECTED VALUE</t>
  </si>
  <si>
    <t>Ipmt</t>
  </si>
  <si>
    <t>EXPECTED VALUE</t>
  </si>
  <si>
    <t>Deletetoolbar</t>
  </si>
  <si>
    <t>FORMULA</t>
  </si>
  <si>
    <t>EXPECTED VALUE</t>
  </si>
  <si>
    <t>Deref</t>
  </si>
  <si>
    <t>FORMULA</t>
  </si>
  <si>
    <t>EXPECTED VALUE</t>
  </si>
  <si>
    <t>Devsq</t>
  </si>
  <si>
    <t>FORMULA</t>
  </si>
  <si>
    <t>EXPECTED VALUE</t>
  </si>
  <si>
    <t>Dget</t>
  </si>
  <si>
    <t>FORMULA</t>
  </si>
  <si>
    <t>EXPECTED VALUE</t>
  </si>
  <si>
    <t>Dialogbox</t>
  </si>
  <si>
    <t>FORMULA</t>
  </si>
  <si>
    <t>EXPECTED VALUE</t>
  </si>
  <si>
    <t>Directory</t>
  </si>
  <si>
    <t>FORMULA</t>
  </si>
  <si>
    <t>EXPECTED VALUE</t>
  </si>
  <si>
    <t>Dmax</t>
  </si>
  <si>
    <t>FORMULA</t>
  </si>
  <si>
    <t>EXPECTED VALUE</t>
  </si>
  <si>
    <t>Dmin</t>
  </si>
  <si>
    <t>FORMULA</t>
  </si>
  <si>
    <t>EXPECTED VALUE</t>
  </si>
  <si>
    <t>Documents</t>
  </si>
  <si>
    <t>FORMULA</t>
  </si>
  <si>
    <t>EXPECTED VALUE</t>
  </si>
  <si>
    <t>Dollar</t>
  </si>
  <si>
    <t>FORMULA</t>
  </si>
  <si>
    <t>EXPECTED VALUE</t>
  </si>
  <si>
    <t>Dproduct</t>
  </si>
  <si>
    <t>FORMULA</t>
  </si>
  <si>
    <t>EXPECTED VALUE</t>
  </si>
  <si>
    <t>Dstdev</t>
  </si>
  <si>
    <t>FORMULA</t>
  </si>
  <si>
    <t>EXPECTED VALUE</t>
  </si>
  <si>
    <t>Dstdevp</t>
  </si>
  <si>
    <t>FORMULA</t>
  </si>
  <si>
    <t>EXPECTED VALUE</t>
  </si>
  <si>
    <t>Dsum</t>
  </si>
  <si>
    <t>FORMULA</t>
  </si>
  <si>
    <t>EXPECTED VALUE</t>
  </si>
  <si>
    <t>Dvar</t>
  </si>
  <si>
    <t>FORMULA</t>
  </si>
  <si>
    <t>EXPECTED VALUE</t>
  </si>
  <si>
    <t>Dvarp</t>
  </si>
  <si>
    <t>FORMULA</t>
  </si>
  <si>
    <t>EXPECTED VALUE</t>
  </si>
  <si>
    <t>Echo</t>
  </si>
  <si>
    <t>FORMULA</t>
  </si>
  <si>
    <t>EXPECTED VALUE</t>
  </si>
  <si>
    <t>Enablecommand</t>
  </si>
  <si>
    <t>FORMULA</t>
  </si>
  <si>
    <t>EXPECTED VALUE</t>
  </si>
  <si>
    <t>Enabletool</t>
  </si>
  <si>
    <t>FORMULA</t>
  </si>
  <si>
    <t>EXPECTED VALUE</t>
  </si>
  <si>
    <t>FORMULA</t>
  </si>
  <si>
    <t>EXPECTED VALUE</t>
  </si>
  <si>
    <t>Errortype</t>
  </si>
  <si>
    <t>FORMULA</t>
  </si>
  <si>
    <t>EXPECTED VALUE</t>
  </si>
  <si>
    <t>Evaluate</t>
  </si>
  <si>
    <t>FORMULA</t>
  </si>
  <si>
    <t>EXPECTED VALUE</t>
  </si>
  <si>
    <t>Even</t>
  </si>
  <si>
    <t>FORMULA</t>
  </si>
  <si>
    <t>EXPECTED VALUE</t>
  </si>
  <si>
    <t>Exact</t>
  </si>
  <si>
    <t>FORMULA</t>
  </si>
  <si>
    <t>EXPECTED VALUE</t>
  </si>
  <si>
    <t>Exec</t>
  </si>
  <si>
    <t>FORMULA</t>
  </si>
  <si>
    <t>EXPECTED VALUE</t>
  </si>
  <si>
    <t>Execute</t>
  </si>
  <si>
    <t>FORMULA</t>
  </si>
  <si>
    <t>EXPECTED VALUE</t>
  </si>
  <si>
    <t>Exp</t>
  </si>
  <si>
    <t>FORMULA</t>
  </si>
  <si>
    <t>EXPECTED VALUE</t>
  </si>
  <si>
    <t>Expondist</t>
  </si>
  <si>
    <t>FORMULA</t>
  </si>
  <si>
    <t>EXPECTED VALUE</t>
  </si>
  <si>
    <t>Externalflag</t>
  </si>
  <si>
    <t>FORMULA</t>
  </si>
  <si>
    <t>EXPECTED VALUE</t>
  </si>
  <si>
    <t>Fact</t>
  </si>
  <si>
    <t>FORMULA</t>
  </si>
  <si>
    <t>EXPECTED VALUE</t>
  </si>
  <si>
    <t>Addmenu</t>
  </si>
  <si>
    <t>FORMULA</t>
  </si>
  <si>
    <t>EXPECTED VALUE</t>
  </si>
  <si>
    <t>Address</t>
  </si>
  <si>
    <t>FORMULA</t>
  </si>
  <si>
    <t>EXPECTED VALUE</t>
  </si>
  <si>
    <t>Addtoolbar</t>
  </si>
  <si>
    <t>FORMULA</t>
  </si>
  <si>
    <t>EXPECTED VALUE</t>
  </si>
  <si>
    <t>And</t>
  </si>
  <si>
    <t>FORMULA</t>
  </si>
  <si>
    <t>EXPECTED VALUE</t>
  </si>
  <si>
    <t>Apptitle</t>
  </si>
  <si>
    <t>FORMULA</t>
  </si>
  <si>
    <t>EXPECTED VALUE</t>
  </si>
  <si>
    <t>Areas</t>
  </si>
  <si>
    <t>FORMULA</t>
  </si>
  <si>
    <t>EXPECTED VALUE</t>
  </si>
  <si>
    <t>Argument</t>
  </si>
  <si>
    <t>FORMULA</t>
  </si>
  <si>
    <t>EXPECTED VALUE</t>
  </si>
  <si>
    <t>Asc</t>
  </si>
  <si>
    <t>FORMULA</t>
  </si>
  <si>
    <t>EXPECTED VALUE</t>
  </si>
  <si>
    <t>Asin</t>
  </si>
  <si>
    <t>FORMULA</t>
  </si>
  <si>
    <t>EXPECTED VALUE</t>
  </si>
  <si>
    <t>Fixed</t>
  </si>
  <si>
    <t>FORMULA</t>
  </si>
  <si>
    <t>EXPECTED VALUE</t>
  </si>
  <si>
    <t>Floor</t>
  </si>
  <si>
    <t>FORMULA</t>
  </si>
  <si>
    <t>EXPECTED VALUE</t>
  </si>
  <si>
    <t>Fopen</t>
  </si>
  <si>
    <t>FORMULA</t>
  </si>
  <si>
    <t>EXPECTED VALUE</t>
  </si>
  <si>
    <t>Forecast</t>
  </si>
  <si>
    <t>FORMULA</t>
  </si>
  <si>
    <t>EXPECTED VALUE</t>
  </si>
  <si>
    <t>Formulaconvert</t>
  </si>
  <si>
    <t>FORMULA</t>
  </si>
  <si>
    <t>EXPECTED VALUE</t>
  </si>
  <si>
    <t>Fpos</t>
  </si>
  <si>
    <t>FORMULA</t>
  </si>
  <si>
    <t>EXPECTED VALUE</t>
  </si>
  <si>
    <t>Fread</t>
  </si>
  <si>
    <t>FORMULA</t>
  </si>
  <si>
    <t>EXPECTED VALUE</t>
  </si>
  <si>
    <t>Freadln</t>
  </si>
  <si>
    <t>FORMULA</t>
  </si>
  <si>
    <t>EXPECTED VALUE</t>
  </si>
  <si>
    <t>Frequency</t>
  </si>
  <si>
    <t>FORMULA</t>
  </si>
  <si>
    <t>EXPECTED VALUE</t>
  </si>
  <si>
    <t>Binomdist</t>
  </si>
  <si>
    <t>FORMULA</t>
  </si>
  <si>
    <t>EXPECTED VALUE</t>
  </si>
  <si>
    <t>Call</t>
  </si>
  <si>
    <t>FORMULA</t>
  </si>
  <si>
    <t>EXPECTED VALUE</t>
  </si>
  <si>
    <t>Caller</t>
  </si>
  <si>
    <t>FORMULA</t>
  </si>
  <si>
    <t>EXPECTED VALUE</t>
  </si>
  <si>
    <t>Cancelkey</t>
  </si>
  <si>
    <t>FORMULA</t>
  </si>
  <si>
    <t>EXPECTED VALUE</t>
  </si>
  <si>
    <t>Ceiling</t>
  </si>
  <si>
    <t>FORMULA</t>
  </si>
  <si>
    <t>EXPECTED VALUE</t>
  </si>
  <si>
    <t>Cell</t>
  </si>
  <si>
    <t>FORMULA</t>
  </si>
  <si>
    <t>EXPECTED VALUE</t>
  </si>
  <si>
    <t>Char</t>
  </si>
  <si>
    <t>FORMULA</t>
  </si>
  <si>
    <t>EXPECTED VALUE</t>
  </si>
  <si>
    <t>Checkcommand</t>
  </si>
  <si>
    <t>FORMULA</t>
  </si>
  <si>
    <t>EXPECTED VALUE</t>
  </si>
  <si>
    <t>Chidist</t>
  </si>
  <si>
    <t>FORMULA</t>
  </si>
  <si>
    <t>EXPECTED VALUE</t>
  </si>
  <si>
    <t>Chiinv</t>
  </si>
  <si>
    <t>FORMULA</t>
  </si>
  <si>
    <t>EXPECTED VALUE</t>
  </si>
  <si>
    <t>Chitest</t>
  </si>
  <si>
    <t>FORMULA</t>
  </si>
  <si>
    <t>EXPECTED VALUE</t>
  </si>
  <si>
    <t>Choose</t>
  </si>
  <si>
    <t>FORMULA</t>
  </si>
  <si>
    <t>EXPECTED VALUE</t>
  </si>
  <si>
    <t>Clean</t>
  </si>
  <si>
    <t>FORMULA</t>
  </si>
  <si>
    <t>EXPECTED VALUE</t>
  </si>
  <si>
    <t>Code</t>
  </si>
  <si>
    <t>FORMULA</t>
  </si>
  <si>
    <t>EXPECTED VALUE</t>
  </si>
  <si>
    <t>Column</t>
  </si>
  <si>
    <t>FORMULA</t>
  </si>
  <si>
    <t>EXPECTED VALUE</t>
  </si>
  <si>
    <t>Columns</t>
  </si>
  <si>
    <t>FORMULA</t>
  </si>
  <si>
    <t>EXPECTED VALUE</t>
  </si>
  <si>
    <t>Combin</t>
  </si>
  <si>
    <t>FORMULA</t>
  </si>
  <si>
    <t>EXPECTED VALUE</t>
  </si>
  <si>
    <t>Concatenate</t>
  </si>
  <si>
    <t>FORMULA</t>
  </si>
  <si>
    <t>EXPECTED VALUE</t>
  </si>
  <si>
    <t>Confidence</t>
  </si>
  <si>
    <t>FORMULA</t>
  </si>
  <si>
    <t>EXPECTED VALUE</t>
  </si>
  <si>
    <t>Correl</t>
  </si>
  <si>
    <t>FORMULA</t>
  </si>
  <si>
    <t>EXPECTED VALUE</t>
  </si>
  <si>
    <t>Cos</t>
  </si>
  <si>
    <t>FORMULA</t>
  </si>
  <si>
    <t>EXPECTED VALUE</t>
  </si>
  <si>
    <t>Cosh</t>
  </si>
  <si>
    <t>FORMULA</t>
  </si>
  <si>
    <t>EXPECTED VALUE</t>
  </si>
  <si>
    <t>Count</t>
  </si>
  <si>
    <t>FORMULA</t>
  </si>
  <si>
    <t>EXPECTED VALUE</t>
  </si>
  <si>
    <t>Counta</t>
  </si>
  <si>
    <t>FORMULA</t>
  </si>
  <si>
    <t>EXPECTED VALUE</t>
  </si>
  <si>
    <t>Countblank</t>
  </si>
  <si>
    <t>FORMULA</t>
  </si>
  <si>
    <t>EXPECTED VALUE</t>
  </si>
  <si>
    <t>Countif</t>
  </si>
  <si>
    <t>FORMULA</t>
  </si>
  <si>
    <t>EXPECTED VALUE</t>
  </si>
  <si>
    <t>Covar</t>
  </si>
  <si>
    <t>FORMULA</t>
  </si>
  <si>
    <t>EXPECTED VALUE</t>
  </si>
  <si>
    <t>Createobject</t>
  </si>
  <si>
    <t>FORMULA</t>
  </si>
  <si>
    <t>EXPECTED VALUE</t>
  </si>
  <si>
    <t>Critbinom</t>
  </si>
  <si>
    <t>FORMULA</t>
  </si>
  <si>
    <t>EXPECTED VALUE</t>
  </si>
  <si>
    <t>EXPECTED VALUE</t>
  </si>
  <si>
    <t>Asinh</t>
  </si>
  <si>
    <t>FORMULA</t>
  </si>
  <si>
    <t>EXPECTED VALUE</t>
  </si>
  <si>
    <t>Atan</t>
  </si>
  <si>
    <t>FORMULA</t>
  </si>
  <si>
    <t>EXPECTED VALUE</t>
  </si>
  <si>
    <t>Atan2</t>
  </si>
  <si>
    <t>FORMULA</t>
  </si>
  <si>
    <t>EXPECTED VALUE</t>
  </si>
  <si>
    <t>Atanh</t>
  </si>
  <si>
    <t>FORMULA</t>
  </si>
  <si>
    <t>EXPECTED VALUE</t>
  </si>
  <si>
    <t>Avedev</t>
  </si>
  <si>
    <t>FORMULA</t>
  </si>
  <si>
    <t>EXPECTED VALUE</t>
  </si>
  <si>
    <t>Average</t>
  </si>
  <si>
    <t>FORMULA</t>
  </si>
  <si>
    <t>EXPECTED VALUE</t>
  </si>
  <si>
    <t>Averagea</t>
  </si>
  <si>
    <t>FORMULA</t>
  </si>
  <si>
    <t>EXPECTED VALUE</t>
  </si>
  <si>
    <t>Betadist</t>
  </si>
  <si>
    <t>FORMULA</t>
  </si>
  <si>
    <t>EXPECTED VALUE</t>
  </si>
  <si>
    <t>Betainv</t>
  </si>
  <si>
    <t>FORMULA</t>
  </si>
  <si>
    <t>9</t>
  </si>
  <si>
    <t>EXPECTED VALUE</t>
  </si>
  <si>
    <t>Db</t>
  </si>
  <si>
    <t>FORMULA</t>
  </si>
  <si>
    <t>EXPECTED VALUE</t>
  </si>
  <si>
    <t>Dbcs</t>
  </si>
  <si>
    <t>FORMULA</t>
  </si>
  <si>
    <t>EXPECTED VALUE</t>
  </si>
  <si>
    <t>Dcount</t>
  </si>
  <si>
    <t>FORMULA</t>
  </si>
  <si>
    <t>EXPECTED VALUE</t>
  </si>
  <si>
    <t>Dcounta</t>
  </si>
  <si>
    <t>FORMULA</t>
  </si>
  <si>
    <t>EXPECTED VALUE</t>
  </si>
  <si>
    <t>Ddb</t>
  </si>
  <si>
    <t>FORMULA</t>
  </si>
  <si>
    <t>EXPECTED VALUE</t>
  </si>
  <si>
    <t>Degrees</t>
  </si>
  <si>
    <t>FORMULA</t>
  </si>
  <si>
    <t>EXPECTED VALUE</t>
  </si>
  <si>
    <t>Deletebar</t>
  </si>
  <si>
    <t>FORMULA</t>
  </si>
  <si>
    <t>EXPECTED VALUE</t>
  </si>
  <si>
    <t>Deletecommand</t>
  </si>
  <si>
    <t>FORMULA</t>
  </si>
  <si>
    <t>EXPECTED VALUE</t>
  </si>
  <si>
    <t>Deletemenu</t>
  </si>
  <si>
    <t>FORMULA</t>
  </si>
  <si>
    <t>DATA SECTION</t>
  </si>
  <si>
    <t>INTEGRAL</t>
  </si>
  <si>
    <t>DOUBLE</t>
  </si>
  <si>
    <t>BLANK</t>
  </si>
  <si>
    <t>STRING</t>
  </si>
  <si>
    <t>REF</t>
  </si>
  <si>
    <t>AREA (rows)</t>
  </si>
  <si>
    <t>AREA (cols)</t>
  </si>
  <si>
    <t>AREA (AREA)</t>
  </si>
  <si>
    <t>alphanum</t>
  </si>
  <si>
    <t>blanksIncl</t>
  </si>
  <si>
    <t>E8</t>
  </si>
  <si>
    <t>nospaces</t>
  </si>
  <si>
    <t>sp ace s</t>
  </si>
  <si>
    <t>ric</t>
  </si>
  <si>
    <t>refsIncl</t>
  </si>
  <si>
    <t xml:space="preserve">endsWithSpace </t>
  </si>
  <si>
    <t>row</t>
  </si>
  <si>
    <t>col</t>
  </si>
  <si>
    <t>endarea</t>
  </si>
  <si>
    <t xml:space="preserve"> beginsWithSpace</t>
  </si>
  <si>
    <t>non-numeric</t>
  </si>
  <si>
    <t>alph4Num3ric</t>
  </si>
  <si>
    <t>Add</t>
  </si>
  <si>
    <t>FORMULA</t>
  </si>
  <si>
    <t>EXPECTED VALUE</t>
  </si>
  <si>
    <t>ConcatEval</t>
  </si>
  <si>
    <t>FORMULA</t>
  </si>
  <si>
    <t>EXPECTED VALUE</t>
  </si>
  <si>
    <t>DivideEval</t>
  </si>
  <si>
    <t>FORMULA</t>
  </si>
  <si>
    <t>EXPECTED VALUE</t>
  </si>
  <si>
    <t>EqualEval</t>
  </si>
  <si>
    <t>FORMULA</t>
  </si>
  <si>
    <t>EXPECTED VALUE</t>
  </si>
  <si>
    <t>GreaterEqualEval</t>
  </si>
  <si>
    <t>FORMULA</t>
  </si>
  <si>
    <t>EXPECTED VALUE</t>
  </si>
  <si>
    <t>GreaterThanEval</t>
  </si>
  <si>
    <t>FORMULA</t>
  </si>
  <si>
    <t>EXPECTED VALUE</t>
  </si>
  <si>
    <t>LessEqualEval</t>
  </si>
  <si>
    <t>FORMULA</t>
  </si>
  <si>
    <t>EXPECTED VALUE</t>
  </si>
  <si>
    <t>LessThanEval</t>
  </si>
  <si>
    <t>FORMULA</t>
  </si>
  <si>
    <t>EXPECTED VALUE</t>
  </si>
  <si>
    <t>MultiplyEval</t>
  </si>
  <si>
    <t>FORMULA</t>
  </si>
  <si>
    <t>EXPECTED VALUE</t>
  </si>
  <si>
    <t>NotEqualEval</t>
  </si>
  <si>
    <t>FORMULA</t>
  </si>
  <si>
    <t>EXPECTED VALUE</t>
  </si>
  <si>
    <t>PowerEval</t>
  </si>
  <si>
    <t>FORMULA</t>
  </si>
  <si>
    <t>EXPECTED VALUE</t>
  </si>
  <si>
    <t>SubtractEval</t>
  </si>
  <si>
    <t>FORMULA</t>
  </si>
  <si>
    <t>EXPECTED VALUE</t>
  </si>
  <si>
    <t>UnaryMinusEval</t>
  </si>
  <si>
    <t>FORMULA</t>
  </si>
  <si>
    <t>EXPECTED VALUE</t>
  </si>
  <si>
    <t>UnaryPlusEval</t>
  </si>
  <si>
    <t>FORMULA</t>
  </si>
  <si>
    <t>EXPECTED VALUE</t>
  </si>
  <si>
    <t>Excel functions</t>
  </si>
  <si>
    <t>Abs</t>
  </si>
  <si>
    <t>FORMULA</t>
  </si>
  <si>
    <t>EXPECTED VALUE</t>
  </si>
  <si>
    <t>Absref</t>
  </si>
  <si>
    <t>FORMULA</t>
  </si>
  <si>
    <t>EXPECTED VALUE</t>
  </si>
  <si>
    <t>Acos</t>
  </si>
  <si>
    <t>FORMULA</t>
  </si>
  <si>
    <t>EXPECTED VALUE</t>
  </si>
  <si>
    <t>Acosh</t>
  </si>
  <si>
    <t>FORMULA</t>
  </si>
  <si>
    <t>EXPECTED VALUE</t>
  </si>
  <si>
    <t>Activecell</t>
  </si>
  <si>
    <t>FORMULA</t>
  </si>
  <si>
    <t>EXPECTED VALUE</t>
  </si>
  <si>
    <t>Addbar</t>
  </si>
  <si>
    <t>FORMULA</t>
  </si>
  <si>
    <t>EXPECTED VALUE</t>
  </si>
  <si>
    <t>Addcommand</t>
  </si>
  <si>
    <t>FORMULA</t>
  </si>
  <si>
    <t>&lt;END-OF-FUNCTIONS&gt;</t>
  </si>
  <si>
    <t>False</t>
  </si>
  <si>
    <t>True</t>
  </si>
  <si>
    <t>ERRORS</t>
  </si>
  <si>
    <t>4</t>
  </si>
  <si>
    <t>nos</t>
  </si>
  <si>
    <t>ospa</t>
  </si>
  <si>
    <t>PercentEval</t>
  </si>
  <si>
    <t>Error.type</t>
  </si>
  <si>
    <t>A</t>
  </si>
  <si>
    <t>AxxEFG</t>
  </si>
  <si>
    <t>xxxBCDEF</t>
  </si>
  <si>
    <t>ABx</t>
  </si>
  <si>
    <t>12900945</t>
  </si>
  <si>
    <t>AxCBBDBEB</t>
  </si>
  <si>
    <t>ABCBBDBEB</t>
  </si>
  <si>
    <t>ABCBxDBEB</t>
  </si>
  <si>
    <t>RangeEval</t>
  </si>
  <si>
    <t>IntersectionEval</t>
  </si>
  <si>
    <t>var</t>
  </si>
  <si>
    <t>$C$2</t>
  </si>
  <si>
    <t>C$2</t>
  </si>
  <si>
    <t>'[Book1]Sheet1'!$C2</t>
  </si>
  <si>
    <t>!</t>
  </si>
  <si>
    <t>text</t>
  </si>
  <si>
    <t>http://poi.apache.org</t>
  </si>
  <si>
    <t>321.32'</t>
  </si>
  <si>
    <t>$534.00'</t>
  </si>
  <si>
    <t>200%'</t>
  </si>
  <si>
    <t>IRR/NPV</t>
  </si>
  <si>
    <t>Imaginary</t>
  </si>
  <si>
    <t>ImReal</t>
  </si>
  <si>
    <t>Quotient</t>
  </si>
  <si>
    <t>Weeknum</t>
  </si>
  <si>
    <t>FactDouble</t>
  </si>
  <si>
    <t>Bin2Dec</t>
  </si>
  <si>
    <t>Dec2Bin</t>
  </si>
  <si>
    <t>1110011100</t>
  </si>
  <si>
    <t>1000000000</t>
  </si>
  <si>
    <t>111111111</t>
  </si>
  <si>
    <t>1001</t>
  </si>
  <si>
    <t>Hex2Dec</t>
  </si>
  <si>
    <t>De2cHex</t>
  </si>
  <si>
    <t>0064</t>
  </si>
  <si>
    <t>00064</t>
  </si>
  <si>
    <t>0000000064</t>
  </si>
  <si>
    <t>FFFFFFFFCA</t>
  </si>
  <si>
    <t>000000D97E</t>
  </si>
  <si>
    <t>D97E</t>
  </si>
  <si>
    <t>64</t>
  </si>
  <si>
    <t>Oct2Dec</t>
  </si>
  <si>
    <t>MIRR</t>
  </si>
  <si>
    <t>Concat</t>
  </si>
  <si>
    <t>23.5</t>
  </si>
  <si>
    <t>232.9993.5</t>
  </si>
  <si>
    <t>110110212</t>
  </si>
  <si>
    <t>22.999933.54</t>
  </si>
  <si>
    <t>22.999933.5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</si>
</sst>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3" formatCode="&quot;$&quot;#,##0.00_);[Red]\(&quot;$&quot;#,##0.00\)"/>
    <numFmt numFmtId="186" formatCode="&quot;TRUE&quot;;&quot;TRUE&quot;;&quot;FALSE&quot;"/>
    <numFmt numFmtId="187" formatCode="0.00000000000"/>
    <numFmt numFmtId="188" formatCode="0.000000000000000"/>
    <numFmt numFmtId="190" formatCode="yyyy/mm/dd"/>
    <numFmt numFmtId="195" formatCode="0.0000"/>
    <numFmt numFmtId="197" formatCode="0.00000000"/>
    <numFmt numFmtId="198" formatCode="0.000000000"/>
    <numFmt numFmtId="201" formatCode="#,##0.00000000;[Red]#,##0.00000000"/>
    <numFmt numFmtId="202" formatCode="#,##0.000000000"/>
  </numFmts>
  <fonts count="15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3" fillId="0" borderId="0"/>
    <xf numFmtId="9" fontId="2" fillId="0" borderId="0" applyFont="0" applyFill="0" applyBorder="0" applyAlignment="0" applyProtection="0"/>
  </cellStyleXfs>
  <cellXfs count="86">
    <xf numFmtId="0" fontId="2" fillId="0" borderId="0" xfId="0" applyFont="1"/>
    <xf numFmtId="0" fontId="2" fillId="0" borderId="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0" borderId="0" xfId="0" applyFont="1" applyBorder="1" applyProtection="1">
      <protection locked="0"/>
    </xf>
    <xf numFmtId="0" fontId="3" fillId="2" borderId="0" xfId="0" applyFont="1" applyFill="1" applyBorder="1" applyProtection="1">
      <protection locked="0"/>
    </xf>
    <xf numFmtId="16" fontId="3" fillId="2" borderId="0" xfId="0" applyNumberFormat="1" applyFont="1" applyFill="1" applyBorder="1" applyProtection="1">
      <protection locked="0"/>
    </xf>
    <xf numFmtId="0" fontId="3" fillId="0" borderId="0" xfId="0" applyFont="1" applyProtection="1">
      <protection locked="0"/>
    </xf>
    <xf numFmtId="0" fontId="3" fillId="2" borderId="0" xfId="0" applyFont="1" applyFill="1" applyProtection="1">
      <protection locked="0"/>
    </xf>
    <xf numFmtId="0" fontId="3" fillId="0" borderId="1" xfId="0" applyFont="1" applyFill="1" applyBorder="1" applyProtection="1">
      <protection locked="0"/>
    </xf>
    <xf numFmtId="0" fontId="2" fillId="0" borderId="0" xfId="0" applyFont="1" applyFill="1" applyProtection="1">
      <protection locked="0"/>
    </xf>
    <xf numFmtId="0" fontId="3" fillId="0" borderId="2" xfId="0" applyFont="1" applyFill="1" applyBorder="1" applyProtection="1">
      <protection locked="0"/>
    </xf>
    <xf numFmtId="0" fontId="7" fillId="0" borderId="0" xfId="1" applyBorder="1" applyAlignment="1" applyProtection="1">
      <protection locked="0"/>
    </xf>
    <xf numFmtId="0" fontId="2" fillId="0" borderId="0" xfId="0" applyNumberFormat="1" applyFont="1"/>
    <xf numFmtId="0" fontId="3" fillId="0" borderId="0" xfId="0" applyNumberFormat="1" applyFont="1"/>
    <xf numFmtId="187" fontId="2" fillId="0" borderId="0" xfId="0" applyNumberFormat="1" applyFont="1"/>
    <xf numFmtId="188" fontId="2" fillId="0" borderId="0" xfId="0" applyNumberFormat="1" applyFont="1"/>
    <xf numFmtId="188" fontId="3" fillId="0" borderId="0" xfId="0" applyNumberFormat="1" applyFont="1"/>
    <xf numFmtId="49" fontId="2" fillId="0" borderId="0" xfId="0" applyNumberFormat="1" applyFont="1"/>
    <xf numFmtId="0" fontId="0" fillId="0" borderId="0" xfId="0" applyFont="1" applyProtection="1">
      <protection locked="0"/>
    </xf>
    <xf numFmtId="49" fontId="0" fillId="0" borderId="0" xfId="0" applyNumberFormat="1" applyFont="1" applyProtection="1">
      <protection locked="0"/>
    </xf>
    <xf numFmtId="49" fontId="0" fillId="0" borderId="0" xfId="0" quotePrefix="1" applyNumberFormat="1" applyProtection="1">
      <protection locked="0"/>
    </xf>
    <xf numFmtId="0" fontId="1" fillId="0" borderId="0" xfId="0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0" xfId="0" quotePrefix="1" applyFont="1" applyProtection="1">
      <protection locked="0"/>
    </xf>
    <xf numFmtId="0" fontId="0" fillId="0" borderId="0" xfId="0" applyProtection="1">
      <protection locked="0"/>
    </xf>
    <xf numFmtId="186" fontId="0" fillId="0" borderId="0" xfId="0" quotePrefix="1" applyNumberFormat="1" applyBorder="1" applyProtection="1">
      <protection locked="0"/>
    </xf>
    <xf numFmtId="0" fontId="0" fillId="0" borderId="0" xfId="0" quotePrefix="1" applyProtection="1">
      <protection locked="0"/>
    </xf>
    <xf numFmtId="0" fontId="3" fillId="0" borderId="3" xfId="0" applyFont="1" applyFill="1" applyBorder="1" applyAlignment="1" applyProtection="1">
      <protection locked="0"/>
    </xf>
    <xf numFmtId="0" fontId="3" fillId="0" borderId="4" xfId="0" applyFont="1" applyFill="1" applyBorder="1" applyAlignment="1" applyProtection="1">
      <protection locked="0"/>
    </xf>
    <xf numFmtId="0" fontId="3" fillId="0" borderId="2" xfId="0" applyFont="1" applyFill="1" applyBorder="1" applyAlignment="1" applyProtection="1">
      <protection locked="0"/>
    </xf>
    <xf numFmtId="0" fontId="10" fillId="0" borderId="1" xfId="0" applyFont="1" applyBorder="1" applyAlignment="1">
      <alignment horizontal="center"/>
    </xf>
    <xf numFmtId="0" fontId="9" fillId="0" borderId="0" xfId="0" quotePrefix="1" applyFont="1" applyBorder="1" applyProtection="1">
      <protection locked="0"/>
    </xf>
    <xf numFmtId="0" fontId="0" fillId="0" borderId="0" xfId="0" applyFont="1" applyAlignment="1" applyProtection="1">
      <protection locked="0"/>
    </xf>
    <xf numFmtId="0" fontId="2" fillId="0" borderId="0" xfId="0" quotePrefix="1" applyFont="1" applyAlignment="1" applyProtection="1">
      <protection locked="0"/>
    </xf>
    <xf numFmtId="49" fontId="2" fillId="0" borderId="0" xfId="0" quotePrefix="1" applyNumberFormat="1" applyFont="1" applyProtection="1">
      <protection locked="0"/>
    </xf>
    <xf numFmtId="0" fontId="2" fillId="0" borderId="0" xfId="0" quotePrefix="1" applyFont="1" applyProtection="1">
      <protection locked="0"/>
    </xf>
    <xf numFmtId="0" fontId="3" fillId="0" borderId="0" xfId="0" quotePrefix="1" applyFont="1" applyProtection="1">
      <protection locked="0"/>
    </xf>
    <xf numFmtId="0" fontId="3" fillId="2" borderId="0" xfId="0" quotePrefix="1" applyFont="1" applyFill="1" applyProtection="1">
      <protection locked="0"/>
    </xf>
    <xf numFmtId="1" fontId="2" fillId="0" borderId="0" xfId="0" applyNumberFormat="1" applyFont="1" applyBorder="1" applyProtection="1">
      <protection locked="0"/>
    </xf>
    <xf numFmtId="190" fontId="3" fillId="2" borderId="0" xfId="0" applyNumberFormat="1" applyFont="1" applyFill="1" applyBorder="1" applyProtection="1">
      <protection locked="0"/>
    </xf>
    <xf numFmtId="173" fontId="2" fillId="0" borderId="0" xfId="0" applyNumberFormat="1" applyFont="1" applyBorder="1" applyProtection="1">
      <protection locked="0"/>
    </xf>
    <xf numFmtId="173" fontId="2" fillId="0" borderId="0" xfId="0" applyNumberFormat="1" applyFont="1" applyProtection="1">
      <protection locked="0"/>
    </xf>
    <xf numFmtId="11" fontId="2" fillId="0" borderId="0" xfId="0" applyNumberFormat="1" applyFont="1" applyProtection="1">
      <protection locked="0"/>
    </xf>
    <xf numFmtId="0" fontId="2" fillId="0" borderId="0" xfId="0" quotePrefix="1" applyFont="1" applyBorder="1" applyProtection="1">
      <protection locked="0"/>
    </xf>
    <xf numFmtId="1" fontId="2" fillId="0" borderId="0" xfId="0" applyNumberFormat="1" applyFont="1" applyProtection="1">
      <protection locked="0"/>
    </xf>
    <xf numFmtId="195" fontId="2" fillId="0" borderId="0" xfId="0" applyNumberFormat="1" applyFont="1" applyBorder="1" applyProtection="1">
      <protection locked="0"/>
    </xf>
    <xf numFmtId="195" fontId="2" fillId="0" borderId="0" xfId="0" applyNumberFormat="1" applyFont="1" applyProtection="1">
      <protection locked="0"/>
    </xf>
    <xf numFmtId="0" fontId="14" fillId="3" borderId="0" xfId="0" applyFont="1" applyFill="1"/>
    <xf numFmtId="198" fontId="2" fillId="0" borderId="0" xfId="0" applyNumberFormat="1" applyFont="1" applyBorder="1" applyProtection="1">
      <protection locked="0"/>
    </xf>
    <xf numFmtId="3" fontId="2" fillId="0" borderId="0" xfId="0" applyNumberFormat="1" applyFont="1" applyProtection="1">
      <protection locked="0"/>
    </xf>
    <xf numFmtId="3" fontId="2" fillId="2" borderId="0" xfId="0" applyNumberFormat="1" applyFont="1" applyFill="1" applyProtection="1">
      <protection locked="0"/>
    </xf>
    <xf numFmtId="0" fontId="11" fillId="0" borderId="0" xfId="0" applyFont="1" applyFill="1" applyProtection="1">
      <protection locked="0"/>
    </xf>
    <xf numFmtId="10" fontId="2" fillId="0" borderId="0" xfId="0" applyNumberFormat="1" applyFont="1" applyBorder="1" applyProtection="1">
      <protection locked="0"/>
    </xf>
    <xf numFmtId="197" fontId="2" fillId="0" borderId="0" xfId="0" applyNumberFormat="1" applyFont="1" applyBorder="1" applyProtection="1">
      <protection locked="0"/>
    </xf>
    <xf numFmtId="201" fontId="2" fillId="0" borderId="0" xfId="0" applyNumberFormat="1" applyFont="1" applyBorder="1" applyProtection="1">
      <protection locked="0"/>
    </xf>
    <xf numFmtId="202" fontId="2" fillId="0" borderId="0" xfId="0" applyNumberFormat="1" applyFont="1" applyBorder="1" applyProtection="1">
      <protection locked="0"/>
    </xf>
    <xf numFmtId="0" fontId="2" fillId="0" borderId="0" xfId="0" applyNumberFormat="1" applyFont="1" applyBorder="1" applyProtection="1">
      <protection locked="0"/>
    </xf>
    <xf numFmtId="0" fontId="0" fillId="0" borderId="0" xfId="0"/>
    <xf numFmtId="0" fontId="13" fillId="0" borderId="0" xfId="2"/>
    <xf numFmtId="0" fontId="0" fillId="0" borderId="0" xfId="0" applyNumberFormat="1"/>
    <xf numFmtId="0" fontId="2" fillId="0" borderId="0" xfId="0" applyNumberFormat="1" applyFont="1" applyProtection="1">
      <protection locked="0"/>
    </xf>
    <xf numFmtId="49" fontId="0" fillId="0" borderId="0" xfId="0" applyNumberFormat="1"/>
    <xf numFmtId="49" fontId="2" fillId="0" borderId="0" xfId="0" applyNumberFormat="1" applyFont="1" applyBorder="1" applyProtection="1">
      <protection locked="0"/>
    </xf>
    <xf numFmtId="49" fontId="2" fillId="0" borderId="0" xfId="0" applyNumberFormat="1" applyFont="1" applyProtection="1">
      <protection locked="0"/>
    </xf>
    <xf numFmtId="0" fontId="0" fillId="0" borderId="0" xfId="0" applyFont="1" applyBorder="1" applyProtection="1">
      <protection locked="0"/>
    </xf>
    <xf numFmtId="0" fontId="12" fillId="0" borderId="0" xfId="0" applyFont="1" applyBorder="1" applyProtection="1">
      <protection locked="0"/>
    </xf>
    <xf numFmtId="9" fontId="13" fillId="0" borderId="0" xfId="3" applyFont="1"/>
    <xf numFmtId="0" fontId="3" fillId="0" borderId="0" xfId="0" applyFont="1" applyFill="1" applyProtection="1">
      <protection locked="0"/>
    </xf>
    <xf numFmtId="9" fontId="2" fillId="0" borderId="0" xfId="0" applyNumberFormat="1" applyFont="1" applyBorder="1" applyProtection="1">
      <protection locked="0"/>
    </xf>
    <xf numFmtId="9" fontId="0" fillId="0" borderId="0" xfId="0" applyNumberFormat="1"/>
    <xf numFmtId="9" fontId="2" fillId="0" borderId="0" xfId="0" applyNumberFormat="1" applyFont="1" applyProtection="1">
      <protection locked="0"/>
    </xf>
    <xf numFmtId="0" fontId="0" fillId="4" borderId="0" xfId="0" applyFill="1"/>
    <xf numFmtId="0" fontId="2" fillId="4" borderId="0" xfId="0" applyFont="1" applyFill="1" applyProtection="1">
      <protection locked="0"/>
    </xf>
    <xf numFmtId="9" fontId="0" fillId="4" borderId="0" xfId="0" applyNumberFormat="1" applyFill="1"/>
    <xf numFmtId="9" fontId="13" fillId="4" borderId="0" xfId="3" applyFont="1" applyFill="1"/>
    <xf numFmtId="0" fontId="3" fillId="0" borderId="3" xfId="0" applyFont="1" applyFill="1" applyBorder="1" applyAlignment="1" applyProtection="1">
      <alignment horizontal="center"/>
      <protection locked="0"/>
    </xf>
    <xf numFmtId="0" fontId="3" fillId="0" borderId="4" xfId="0" applyFont="1" applyFill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protection locked="0"/>
    </xf>
    <xf numFmtId="0" fontId="3" fillId="0" borderId="5" xfId="0" applyFont="1" applyFill="1" applyBorder="1" applyAlignment="1" applyProtection="1">
      <alignment vertical="center" textRotation="255"/>
      <protection locked="0"/>
    </xf>
    <xf numFmtId="0" fontId="3" fillId="0" borderId="6" xfId="0" applyFont="1" applyFill="1" applyBorder="1" applyAlignment="1" applyProtection="1">
      <alignment vertical="center" textRotation="255"/>
      <protection locked="0"/>
    </xf>
    <xf numFmtId="0" fontId="3" fillId="0" borderId="7" xfId="0" applyFont="1" applyFill="1" applyBorder="1" applyAlignment="1" applyProtection="1">
      <alignment vertical="center" textRotation="255"/>
      <protection locked="0"/>
    </xf>
    <xf numFmtId="0" fontId="3" fillId="0" borderId="3" xfId="0" applyFont="1" applyFill="1" applyBorder="1" applyAlignment="1" applyProtection="1">
      <protection locked="0"/>
    </xf>
    <xf numFmtId="0" fontId="3" fillId="0" borderId="4" xfId="0" applyFont="1" applyFill="1" applyBorder="1" applyAlignment="1" applyProtection="1">
      <protection locked="0"/>
    </xf>
    <xf numFmtId="0" fontId="3" fillId="0" borderId="2" xfId="0" applyFont="1" applyFill="1" applyBorder="1" applyAlignment="1" applyProtection="1">
      <protection locked="0"/>
    </xf>
    <xf numFmtId="0" fontId="4" fillId="0" borderId="0" xfId="0" applyFont="1" applyBorder="1" applyProtection="1">
      <protection locked="0"/>
    </xf>
  </cellXfs>
  <cellStyles count="4">
    <cellStyle name="Link" xfId="1" builtinId="8"/>
    <cellStyle name="Normal 2" xfId="2" xr:uid="{962A7A7A-A2FF-D940-8676-F16F0A9105DE}"/>
    <cellStyle name="Prozent" xfId="3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poi.apach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F4FD-3E80-6949-BB9E-0DD694027D81}">
  <sheetPr codeName="Sheet1"/>
  <dimension ref="A2:AS1548"/>
  <sheetViews>
    <sheetView tabSelected="1" zoomScale="70" zoomScaleNormal="70" workbookViewId="0">
      <pane ySplit="4640" topLeftCell="A1225" activePane="bottomLeft"/>
      <selection activeCell="L9" sqref="L9"/>
      <selection pane="bottomLeft" activeCell="J1234" sqref="J1234"/>
    </sheetView>
  </sheetViews>
  <sheetFormatPr baseColWidth="10" defaultColWidth="9" defaultRowHeight="13" x14ac:dyDescent="0.15"/>
  <cols>
    <col min="1" max="1" width="4.33203125" style="1" customWidth="1"/>
    <col min="2" max="2" width="12.33203125" style="1" customWidth="1"/>
    <col min="3" max="3" width="17.6640625" style="1" bestFit="1" customWidth="1"/>
    <col min="4" max="4" width="13.1640625" style="1" customWidth="1"/>
    <col min="5" max="5" width="16.33203125" style="1" customWidth="1"/>
    <col min="6" max="6" width="12.33203125" style="1" customWidth="1"/>
    <col min="7" max="7" width="14.33203125" style="2" customWidth="1"/>
    <col min="8" max="8" width="9" style="2"/>
    <col min="9" max="9" width="18.5" style="2" customWidth="1"/>
    <col min="10" max="28" width="9" style="2"/>
    <col min="29" max="35" width="5.83203125" style="2" customWidth="1"/>
    <col min="36" max="37" width="5.33203125" style="2" customWidth="1"/>
    <col min="38" max="16384" width="9" style="2"/>
  </cols>
  <sheetData>
    <row r="2" spans="1:45" x14ac:dyDescent="0.15"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45" x14ac:dyDescent="0.15"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</row>
    <row r="4" spans="1:45" x14ac:dyDescent="0.15"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</row>
    <row r="5" spans="1:45" ht="14" thickBot="1" x14ac:dyDescent="0.2"/>
    <row r="6" spans="1:45" s="10" customFormat="1" ht="14" thickBot="1" x14ac:dyDescent="0.2">
      <c r="A6" s="79" t="s">
        <v>1105</v>
      </c>
      <c r="B6" s="11" t="s">
        <v>1106</v>
      </c>
      <c r="C6" s="9" t="s">
        <v>1107</v>
      </c>
      <c r="D6" s="9" t="s">
        <v>1108</v>
      </c>
      <c r="E6" s="9" t="s">
        <v>1109</v>
      </c>
      <c r="F6" s="9" t="s">
        <v>1110</v>
      </c>
      <c r="G6" s="82" t="s">
        <v>1111</v>
      </c>
      <c r="H6" s="83"/>
      <c r="I6" s="83"/>
      <c r="J6" s="84"/>
      <c r="K6" s="82" t="s">
        <v>1112</v>
      </c>
      <c r="L6" s="83"/>
      <c r="M6" s="83"/>
      <c r="N6" s="83"/>
      <c r="O6" s="84"/>
      <c r="P6" s="28" t="s">
        <v>1113</v>
      </c>
      <c r="Q6" s="29"/>
      <c r="R6" s="29"/>
      <c r="S6" s="30"/>
      <c r="T6" s="76" t="s">
        <v>76</v>
      </c>
      <c r="U6" s="77"/>
      <c r="V6" s="77"/>
      <c r="W6" s="77"/>
      <c r="X6" s="77"/>
      <c r="Y6" s="77"/>
      <c r="Z6" s="77"/>
      <c r="AA6" s="31" t="s">
        <v>1194</v>
      </c>
      <c r="AL6" s="52" t="s">
        <v>1220</v>
      </c>
      <c r="AM6" s="68" t="s">
        <v>1242</v>
      </c>
      <c r="AR6" s="68" t="s">
        <v>444</v>
      </c>
    </row>
    <row r="7" spans="1:45" x14ac:dyDescent="0.15">
      <c r="A7" s="80"/>
      <c r="B7" s="4">
        <v>0</v>
      </c>
      <c r="C7" s="4">
        <v>0</v>
      </c>
      <c r="D7" s="4"/>
      <c r="E7" s="4" t="str">
        <f>""</f>
        <v/>
      </c>
      <c r="F7" s="4">
        <f>B7</f>
        <v>0</v>
      </c>
      <c r="G7" s="4">
        <v>1</v>
      </c>
      <c r="H7" s="4">
        <v>2</v>
      </c>
      <c r="I7" s="4">
        <v>3</v>
      </c>
      <c r="J7" s="4">
        <v>4</v>
      </c>
      <c r="K7" s="4">
        <v>1</v>
      </c>
      <c r="L7" s="4">
        <v>1.0009999999999999</v>
      </c>
      <c r="M7" s="4" t="s">
        <v>1114</v>
      </c>
      <c r="N7" s="4" t="s">
        <v>1115</v>
      </c>
      <c r="O7" s="4" t="s">
        <v>1116</v>
      </c>
      <c r="P7" s="4">
        <v>1</v>
      </c>
      <c r="Q7" s="4">
        <v>2</v>
      </c>
      <c r="R7" s="4">
        <v>3</v>
      </c>
      <c r="S7" s="4">
        <v>4</v>
      </c>
      <c r="T7" s="7" t="s">
        <v>70</v>
      </c>
      <c r="U7" s="7" t="s">
        <v>71</v>
      </c>
      <c r="V7" s="7" t="s">
        <v>72</v>
      </c>
      <c r="W7" s="7" t="s">
        <v>73</v>
      </c>
      <c r="X7" s="7" t="s">
        <v>74</v>
      </c>
      <c r="Y7" s="7" t="s">
        <v>75</v>
      </c>
      <c r="AA7" s="2" t="e">
        <v>#NULL!</v>
      </c>
      <c r="AC7" s="2">
        <v>0</v>
      </c>
      <c r="AD7" s="2">
        <v>1</v>
      </c>
      <c r="AE7" s="2">
        <v>2</v>
      </c>
      <c r="AF7" s="2">
        <v>3</v>
      </c>
      <c r="AG7" s="2">
        <v>4</v>
      </c>
      <c r="AH7" s="2">
        <v>5</v>
      </c>
      <c r="AI7" s="2">
        <v>6</v>
      </c>
      <c r="AJ7" s="2">
        <v>7</v>
      </c>
      <c r="AK7" s="2">
        <v>8</v>
      </c>
      <c r="AL7" s="50">
        <v>-70000</v>
      </c>
      <c r="AM7" s="58">
        <v>-120000</v>
      </c>
      <c r="AN7" s="58">
        <v>-7500</v>
      </c>
      <c r="AO7" s="58">
        <v>-10000</v>
      </c>
      <c r="AP7" s="58">
        <v>10000</v>
      </c>
      <c r="AQ7" s="58">
        <v>-10000</v>
      </c>
      <c r="AR7" s="58">
        <v>1</v>
      </c>
    </row>
    <row r="8" spans="1:45" s="3" customFormat="1" x14ac:dyDescent="0.15">
      <c r="A8" s="80"/>
      <c r="B8" s="5">
        <v>1</v>
      </c>
      <c r="C8" s="5">
        <v>1.0000000000000001E-5</v>
      </c>
      <c r="D8" s="5"/>
      <c r="E8" s="5" t="s">
        <v>1117</v>
      </c>
      <c r="F8" s="5">
        <f>B8</f>
        <v>1</v>
      </c>
      <c r="G8" s="5">
        <v>1.0009999999999999</v>
      </c>
      <c r="H8" s="5">
        <v>2.9990000000000001</v>
      </c>
      <c r="I8" s="5">
        <v>3.5</v>
      </c>
      <c r="J8" s="5">
        <v>4.5</v>
      </c>
      <c r="K8" s="5">
        <v>2</v>
      </c>
      <c r="L8" s="5">
        <v>2.9998999999999998</v>
      </c>
      <c r="M8" s="5">
        <v>3</v>
      </c>
      <c r="N8" s="5"/>
      <c r="O8" s="5">
        <v>545</v>
      </c>
      <c r="P8" s="5">
        <v>9999.9999000000007</v>
      </c>
      <c r="Q8" s="5">
        <v>23.333300000000001</v>
      </c>
      <c r="R8" s="6">
        <f>2/3</f>
        <v>0.66666666666666663</v>
      </c>
      <c r="S8" s="5">
        <v>1000.001</v>
      </c>
      <c r="T8" s="3">
        <v>1</v>
      </c>
      <c r="U8" s="3">
        <v>10</v>
      </c>
      <c r="V8" s="3">
        <v>100</v>
      </c>
      <c r="W8" s="3">
        <v>10000</v>
      </c>
      <c r="X8" s="3">
        <v>0</v>
      </c>
      <c r="AA8" s="3" t="e">
        <v>#DIV/0!</v>
      </c>
      <c r="AC8" s="3">
        <v>8</v>
      </c>
      <c r="AD8" s="3">
        <v>9</v>
      </c>
      <c r="AE8" s="3">
        <v>10</v>
      </c>
      <c r="AF8" s="3">
        <v>11</v>
      </c>
      <c r="AG8" s="3">
        <v>12</v>
      </c>
      <c r="AH8" s="3">
        <v>13</v>
      </c>
      <c r="AI8" s="3">
        <v>14</v>
      </c>
      <c r="AJ8" s="3">
        <v>15</v>
      </c>
      <c r="AK8" s="3">
        <v>16</v>
      </c>
      <c r="AL8" s="51">
        <v>12000</v>
      </c>
      <c r="AM8" s="72">
        <v>39000</v>
      </c>
      <c r="AN8" s="72">
        <v>3000</v>
      </c>
      <c r="AO8" s="72">
        <v>3400</v>
      </c>
      <c r="AP8" s="72">
        <v>3400</v>
      </c>
      <c r="AQ8" s="72">
        <v>-3400</v>
      </c>
      <c r="AR8" s="72">
        <v>3</v>
      </c>
    </row>
    <row r="9" spans="1:45" x14ac:dyDescent="0.15">
      <c r="A9" s="80"/>
      <c r="B9" s="4">
        <v>2</v>
      </c>
      <c r="C9" s="4">
        <v>1.1000000000000001</v>
      </c>
      <c r="D9" s="4"/>
      <c r="E9" s="4" t="s">
        <v>1118</v>
      </c>
      <c r="F9" s="4">
        <f>B11</f>
        <v>9999999999</v>
      </c>
      <c r="G9" s="4">
        <v>2.3456000000000001</v>
      </c>
      <c r="H9" s="4">
        <v>3.4567000000000001</v>
      </c>
      <c r="I9" s="4">
        <v>5.6788999999999996</v>
      </c>
      <c r="J9" s="4">
        <v>6.7889999999999997</v>
      </c>
      <c r="K9" s="4">
        <v>3</v>
      </c>
      <c r="L9" s="4">
        <v>3.5</v>
      </c>
      <c r="M9" s="4" t="s">
        <v>1119</v>
      </c>
      <c r="N9" s="4">
        <v>345</v>
      </c>
      <c r="O9" s="4">
        <v>454</v>
      </c>
      <c r="P9" s="4" t="s">
        <v>1120</v>
      </c>
      <c r="Q9" s="4">
        <f>H7</f>
        <v>2</v>
      </c>
      <c r="R9" s="4">
        <f>I8</f>
        <v>3.5</v>
      </c>
      <c r="S9" s="4" t="str">
        <f>E7</f>
        <v/>
      </c>
      <c r="T9" s="2">
        <v>1</v>
      </c>
      <c r="U9" s="2">
        <v>10</v>
      </c>
      <c r="V9" s="2">
        <v>100</v>
      </c>
      <c r="W9" s="2">
        <v>10000</v>
      </c>
      <c r="X9" s="2">
        <v>1</v>
      </c>
      <c r="AA9" s="2" t="e">
        <v>#VALUE!</v>
      </c>
      <c r="AC9" s="2">
        <v>16</v>
      </c>
      <c r="AD9" s="2">
        <v>17</v>
      </c>
      <c r="AE9" s="2">
        <v>18</v>
      </c>
      <c r="AF9" s="2">
        <v>19</v>
      </c>
      <c r="AG9" s="2">
        <v>20</v>
      </c>
      <c r="AH9" s="2">
        <v>21</v>
      </c>
      <c r="AI9" s="2">
        <v>22</v>
      </c>
      <c r="AJ9" s="2">
        <v>23</v>
      </c>
      <c r="AK9" s="2">
        <v>24</v>
      </c>
      <c r="AL9" s="50">
        <v>15000</v>
      </c>
      <c r="AM9" s="58">
        <v>30000</v>
      </c>
      <c r="AN9" s="58">
        <v>5000</v>
      </c>
      <c r="AO9" s="58">
        <v>6500</v>
      </c>
      <c r="AP9" s="58">
        <v>6500</v>
      </c>
      <c r="AQ9" s="58">
        <v>-6500</v>
      </c>
      <c r="AR9" s="58">
        <v>2</v>
      </c>
    </row>
    <row r="10" spans="1:45" s="3" customFormat="1" x14ac:dyDescent="0.15">
      <c r="A10" s="80"/>
      <c r="B10" s="5">
        <v>534</v>
      </c>
      <c r="C10" s="5">
        <v>1.0000100000000001</v>
      </c>
      <c r="D10" s="5"/>
      <c r="E10" s="5" t="s">
        <v>1121</v>
      </c>
      <c r="F10" s="5">
        <f>C8</f>
        <v>1.0000000000000001E-5</v>
      </c>
      <c r="G10" s="5" t="s">
        <v>1114</v>
      </c>
      <c r="H10" s="5">
        <v>3</v>
      </c>
      <c r="I10" s="5" t="s">
        <v>1119</v>
      </c>
      <c r="J10" s="5" t="s">
        <v>1122</v>
      </c>
      <c r="K10" s="5">
        <v>4</v>
      </c>
      <c r="L10" s="5">
        <v>4.5</v>
      </c>
      <c r="M10" s="5" t="s">
        <v>1123</v>
      </c>
      <c r="N10" s="5">
        <v>1.0000000000000001E-5</v>
      </c>
      <c r="O10" s="5">
        <v>0</v>
      </c>
      <c r="P10" s="5" t="s">
        <v>1115</v>
      </c>
      <c r="Q10" s="5"/>
      <c r="R10" s="5"/>
      <c r="S10" s="5" t="s">
        <v>1124</v>
      </c>
      <c r="T10" s="3">
        <v>2</v>
      </c>
      <c r="U10" s="3">
        <v>12</v>
      </c>
      <c r="V10" s="3">
        <v>120</v>
      </c>
      <c r="W10" s="3">
        <v>12000</v>
      </c>
      <c r="X10" s="3">
        <v>0</v>
      </c>
      <c r="AA10" s="3" t="e">
        <v>#REF!</v>
      </c>
      <c r="AC10" s="3">
        <v>24</v>
      </c>
      <c r="AD10" s="3">
        <v>25</v>
      </c>
      <c r="AE10" s="3">
        <v>26</v>
      </c>
      <c r="AF10" s="3">
        <v>27</v>
      </c>
      <c r="AG10" s="3">
        <v>28</v>
      </c>
      <c r="AH10" s="3">
        <v>29</v>
      </c>
      <c r="AI10" s="3">
        <v>30</v>
      </c>
      <c r="AJ10" s="3">
        <v>31</v>
      </c>
      <c r="AK10" s="3">
        <v>32</v>
      </c>
      <c r="AL10" s="51">
        <v>18000</v>
      </c>
      <c r="AM10" s="72">
        <v>21000</v>
      </c>
      <c r="AN10" s="72">
        <v>1200</v>
      </c>
      <c r="AO10" s="72">
        <v>1000</v>
      </c>
      <c r="AP10" s="72">
        <v>1000</v>
      </c>
      <c r="AQ10" s="72">
        <v>-1000</v>
      </c>
      <c r="AR10" s="72">
        <v>4</v>
      </c>
      <c r="AS10" s="73"/>
    </row>
    <row r="11" spans="1:45" ht="15" x14ac:dyDescent="0.2">
      <c r="A11" s="80"/>
      <c r="B11" s="4">
        <v>9999999999</v>
      </c>
      <c r="C11" s="4">
        <v>2.9999899999999999</v>
      </c>
      <c r="D11" s="4"/>
      <c r="E11" s="4" t="s">
        <v>1125</v>
      </c>
      <c r="F11" s="4">
        <f>D7</f>
        <v>0</v>
      </c>
      <c r="G11" s="4" t="s">
        <v>1115</v>
      </c>
      <c r="H11" s="4"/>
      <c r="I11" s="4">
        <v>345</v>
      </c>
      <c r="J11" s="4">
        <v>1.0000000000000001E-5</v>
      </c>
      <c r="K11" s="7"/>
      <c r="L11" s="7"/>
      <c r="M11" s="7"/>
      <c r="N11" s="7"/>
      <c r="O11" s="7"/>
      <c r="P11" s="7"/>
      <c r="Q11" s="7"/>
      <c r="R11" s="7"/>
      <c r="S11" s="7"/>
      <c r="T11" s="2">
        <v>2</v>
      </c>
      <c r="U11" s="2">
        <v>12</v>
      </c>
      <c r="V11" s="2">
        <v>120</v>
      </c>
      <c r="W11" s="2">
        <v>12000</v>
      </c>
      <c r="X11" s="2">
        <v>1</v>
      </c>
      <c r="AA11" s="2" t="e">
        <v>#NAME?</v>
      </c>
      <c r="AC11" s="2">
        <v>32</v>
      </c>
      <c r="AD11" s="2">
        <v>33</v>
      </c>
      <c r="AE11" s="2">
        <v>34</v>
      </c>
      <c r="AF11" s="2">
        <v>35</v>
      </c>
      <c r="AG11" s="2">
        <v>36</v>
      </c>
      <c r="AH11" s="2">
        <v>37</v>
      </c>
      <c r="AI11" s="2">
        <v>38</v>
      </c>
      <c r="AJ11" s="2">
        <v>39</v>
      </c>
      <c r="AK11" s="2">
        <v>40</v>
      </c>
      <c r="AL11" s="50">
        <v>12000</v>
      </c>
      <c r="AM11" s="58">
        <v>37000</v>
      </c>
      <c r="AN11" s="58">
        <v>4000</v>
      </c>
      <c r="AO11" s="67">
        <v>6.5000000000000002E-2</v>
      </c>
      <c r="AP11" s="67">
        <v>6.5000000000000002E-2</v>
      </c>
      <c r="AQ11" s="67">
        <v>7.0000000000000007E-2</v>
      </c>
    </row>
    <row r="12" spans="1:45" s="3" customFormat="1" ht="15" x14ac:dyDescent="0.2">
      <c r="A12" s="80"/>
      <c r="B12" s="5">
        <v>-9999999999</v>
      </c>
      <c r="C12" s="5">
        <v>999999.99999000004</v>
      </c>
      <c r="E12" s="5" t="s">
        <v>1126</v>
      </c>
      <c r="F12" s="5" t="str">
        <f>E9</f>
        <v>sp ace s</v>
      </c>
      <c r="G12" s="5" t="s">
        <v>1116</v>
      </c>
      <c r="H12" s="5">
        <v>545</v>
      </c>
      <c r="I12" s="5">
        <v>454</v>
      </c>
      <c r="J12" s="5">
        <v>0</v>
      </c>
      <c r="K12" s="8"/>
      <c r="L12" s="8"/>
      <c r="M12" s="8"/>
      <c r="N12" s="8"/>
      <c r="O12" s="8"/>
      <c r="P12" s="8"/>
      <c r="Q12" s="8"/>
      <c r="R12" s="8"/>
      <c r="S12" s="8"/>
      <c r="T12" s="3">
        <v>0.66666666666666663</v>
      </c>
      <c r="U12" s="3">
        <v>23</v>
      </c>
      <c r="V12" s="3">
        <v>133.33000000000001</v>
      </c>
      <c r="W12" s="3">
        <v>34307</v>
      </c>
      <c r="X12" s="3">
        <v>0</v>
      </c>
      <c r="AA12" s="3" t="e">
        <v>#NUM!</v>
      </c>
      <c r="AC12" s="3">
        <v>40</v>
      </c>
      <c r="AD12" s="3">
        <v>41</v>
      </c>
      <c r="AE12" s="3">
        <v>42</v>
      </c>
      <c r="AF12" s="3">
        <v>43</v>
      </c>
      <c r="AG12" s="3">
        <v>44</v>
      </c>
      <c r="AH12" s="3">
        <v>45</v>
      </c>
      <c r="AI12" s="3">
        <v>46</v>
      </c>
      <c r="AJ12" s="3">
        <v>47</v>
      </c>
      <c r="AK12" s="3">
        <v>48</v>
      </c>
      <c r="AL12" s="51">
        <v>26000</v>
      </c>
      <c r="AM12" s="72">
        <v>46000</v>
      </c>
      <c r="AN12" s="74">
        <v>0.05</v>
      </c>
      <c r="AO12" s="75">
        <v>0.1</v>
      </c>
      <c r="AP12" s="75">
        <v>0.1</v>
      </c>
      <c r="AQ12" s="75">
        <v>0.01</v>
      </c>
      <c r="AR12" s="73"/>
    </row>
    <row r="13" spans="1:45" ht="15" x14ac:dyDescent="0.2">
      <c r="A13" s="80"/>
      <c r="B13" s="4">
        <v>-534</v>
      </c>
      <c r="C13" s="4">
        <v>-999999.99999000004</v>
      </c>
      <c r="E13" s="4" t="str">
        <f>"0"</f>
        <v>0</v>
      </c>
      <c r="F13" s="4" t="str">
        <f>E17</f>
        <v>2.99999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2">
        <v>0.66666666666666663</v>
      </c>
      <c r="U13" s="2">
        <v>23</v>
      </c>
      <c r="V13" s="2">
        <v>133.33000000000001</v>
      </c>
      <c r="W13" s="2">
        <v>34307</v>
      </c>
      <c r="X13" s="2">
        <v>1</v>
      </c>
      <c r="AA13" s="2" t="e">
        <v>#N/A</v>
      </c>
      <c r="AM13" s="67">
        <v>0.1</v>
      </c>
      <c r="AN13" s="70">
        <v>0.08</v>
      </c>
    </row>
    <row r="14" spans="1:45" s="3" customFormat="1" ht="15" x14ac:dyDescent="0.2">
      <c r="A14" s="80"/>
      <c r="B14" s="5">
        <v>-2</v>
      </c>
      <c r="C14" s="5">
        <v>-2.9999899999999999</v>
      </c>
      <c r="D14" s="5"/>
      <c r="E14" s="5" t="str">
        <f>"0.000001"</f>
        <v>0.000001</v>
      </c>
      <c r="F14" s="5" t="str">
        <f>E19</f>
        <v>alph4Num3ric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3">
        <v>0</v>
      </c>
      <c r="U14" s="3">
        <v>1</v>
      </c>
      <c r="V14" s="3">
        <v>100</v>
      </c>
      <c r="W14" s="3">
        <v>2300</v>
      </c>
      <c r="X14" s="3">
        <v>0</v>
      </c>
      <c r="AM14" s="75">
        <v>0.12</v>
      </c>
    </row>
    <row r="15" spans="1:45" x14ac:dyDescent="0.15">
      <c r="A15" s="80"/>
      <c r="B15" s="4">
        <v>-1</v>
      </c>
      <c r="C15" s="4">
        <v>-1.0000100000000001</v>
      </c>
      <c r="D15" s="4"/>
      <c r="E15" s="4" t="str">
        <f>"1"</f>
        <v>1</v>
      </c>
      <c r="F15" s="4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2">
        <v>0</v>
      </c>
      <c r="U15" s="2">
        <v>1</v>
      </c>
      <c r="V15" s="2">
        <v>100</v>
      </c>
      <c r="W15" s="2">
        <v>2300</v>
      </c>
      <c r="X15" s="2">
        <v>1</v>
      </c>
    </row>
    <row r="16" spans="1:45" s="3" customFormat="1" x14ac:dyDescent="0.15">
      <c r="A16" s="80"/>
      <c r="B16" s="5" t="b">
        <v>1</v>
      </c>
      <c r="C16" s="5">
        <v>-1.1000000000000001</v>
      </c>
      <c r="D16" s="5"/>
      <c r="E16" s="5" t="str">
        <f>"1.1"</f>
        <v>1.1</v>
      </c>
      <c r="F16" s="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3">
        <v>0</v>
      </c>
      <c r="U16" s="3">
        <v>12</v>
      </c>
      <c r="V16" s="3">
        <v>120</v>
      </c>
      <c r="W16" s="3">
        <v>12000</v>
      </c>
      <c r="X16" s="3">
        <v>0</v>
      </c>
    </row>
    <row r="17" spans="1:24" x14ac:dyDescent="0.15">
      <c r="A17" s="80"/>
      <c r="B17" s="4" t="b">
        <v>0</v>
      </c>
      <c r="C17" s="4">
        <v>-1.0000000000000001E-5</v>
      </c>
      <c r="D17" s="4"/>
      <c r="E17" s="4" t="str">
        <f>"2.99999"</f>
        <v>2.99999</v>
      </c>
      <c r="F17" s="4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2">
        <v>0</v>
      </c>
      <c r="U17" s="2">
        <v>12</v>
      </c>
      <c r="V17" s="2">
        <v>120</v>
      </c>
      <c r="W17" s="2">
        <v>12000</v>
      </c>
      <c r="X17" s="2">
        <v>1</v>
      </c>
    </row>
    <row r="18" spans="1:24" s="3" customFormat="1" x14ac:dyDescent="0.15">
      <c r="A18" s="80"/>
      <c r="B18" s="5" t="str">
        <f>"TRUE"</f>
        <v>TRUE</v>
      </c>
      <c r="C18" s="5"/>
      <c r="D18" s="5"/>
      <c r="E18" s="5" t="str">
        <f>"99999999"</f>
        <v>99999999</v>
      </c>
      <c r="F18" s="5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3">
        <v>2.3332999999999999</v>
      </c>
      <c r="U18" s="3">
        <v>4</v>
      </c>
      <c r="V18" s="3">
        <v>334.5</v>
      </c>
      <c r="W18" s="3">
        <v>14323.45</v>
      </c>
      <c r="X18" s="3">
        <v>0</v>
      </c>
    </row>
    <row r="19" spans="1:24" x14ac:dyDescent="0.15">
      <c r="A19" s="80"/>
      <c r="B19" s="4" t="str">
        <f>"FALSE"</f>
        <v>FALSE</v>
      </c>
      <c r="C19" s="4"/>
      <c r="D19" s="4"/>
      <c r="E19" s="4" t="s">
        <v>1127</v>
      </c>
      <c r="F19" s="4"/>
      <c r="G19" s="7"/>
      <c r="H19" s="7"/>
      <c r="I19" s="7"/>
      <c r="J19" s="7"/>
      <c r="K19" s="37"/>
      <c r="L19" s="37"/>
      <c r="M19" s="7"/>
      <c r="N19" s="7"/>
      <c r="O19" s="7"/>
      <c r="P19" s="7"/>
      <c r="Q19" s="7"/>
      <c r="R19" s="7"/>
      <c r="S19" s="7"/>
      <c r="T19" s="2">
        <v>2.3332999999999999</v>
      </c>
      <c r="U19" s="2">
        <v>4</v>
      </c>
      <c r="V19" s="2">
        <v>334.5</v>
      </c>
      <c r="W19" s="2">
        <v>14323.45</v>
      </c>
      <c r="X19" s="2">
        <v>1</v>
      </c>
    </row>
    <row r="20" spans="1:24" s="3" customFormat="1" x14ac:dyDescent="0.15">
      <c r="A20" s="80"/>
      <c r="B20" s="5"/>
      <c r="C20" s="40">
        <v>36885</v>
      </c>
      <c r="D20" s="5"/>
      <c r="E20" s="5"/>
      <c r="F20" s="5">
        <f>D7</f>
        <v>0</v>
      </c>
      <c r="G20" s="8"/>
      <c r="H20" s="8"/>
      <c r="I20" s="8"/>
      <c r="J20" s="8"/>
      <c r="K20" s="38"/>
      <c r="L20" s="38"/>
      <c r="M20" s="8"/>
      <c r="N20" s="8"/>
      <c r="O20" s="8"/>
      <c r="P20" s="8"/>
      <c r="Q20" s="8"/>
      <c r="R20" s="8"/>
      <c r="S20" s="8"/>
    </row>
    <row r="21" spans="1:24" ht="14" thickBot="1" x14ac:dyDescent="0.2">
      <c r="A21" s="81"/>
    </row>
    <row r="23" spans="1:24" x14ac:dyDescent="0.15">
      <c r="B23" s="1" t="s">
        <v>1128</v>
      </c>
      <c r="C23" s="1" t="s">
        <v>1129</v>
      </c>
      <c r="D23" s="1">
        <f>0+0</f>
        <v>0</v>
      </c>
      <c r="E23" s="1">
        <f>999999+1.001</f>
        <v>1000000.001</v>
      </c>
      <c r="F23" s="1">
        <f>-8888+8887.9</f>
        <v>-0.1000000000003638</v>
      </c>
      <c r="G23" s="1">
        <f>B9+C9+F10</f>
        <v>3.1000100000000002</v>
      </c>
      <c r="H23" s="1">
        <f>B7+C7+D7+F7</f>
        <v>0</v>
      </c>
      <c r="I23" s="1" t="e">
        <f>B7+C7+D7+E7</f>
        <v>#VALUE!</v>
      </c>
      <c r="J23" s="1">
        <f>D7+D8</f>
        <v>0</v>
      </c>
      <c r="K23" s="1" t="e">
        <f>C7+G7:J7</f>
        <v>#VALUE!</v>
      </c>
    </row>
    <row r="24" spans="1:24" x14ac:dyDescent="0.15">
      <c r="C24" s="1" t="s">
        <v>1130</v>
      </c>
      <c r="D24" s="1">
        <v>0</v>
      </c>
      <c r="E24" s="1">
        <v>1000000.001</v>
      </c>
      <c r="F24" s="1">
        <v>-0.1000000000003638</v>
      </c>
      <c r="G24" s="1">
        <v>3.1000100000000002</v>
      </c>
      <c r="H24" s="1">
        <v>0</v>
      </c>
      <c r="I24" s="1" t="e">
        <v>#VALUE!</v>
      </c>
      <c r="J24" s="1">
        <v>0</v>
      </c>
      <c r="K24" s="1" t="e">
        <v>#VALUE!</v>
      </c>
    </row>
    <row r="27" spans="1:24" x14ac:dyDescent="0.15">
      <c r="B27" s="1" t="s">
        <v>1131</v>
      </c>
      <c r="C27" s="1" t="s">
        <v>1132</v>
      </c>
      <c r="D27" s="1" t="str">
        <f>0&amp;1</f>
        <v>01</v>
      </c>
      <c r="E27" s="1" t="str">
        <f>2&amp;"hello world"</f>
        <v>2hello world</v>
      </c>
      <c r="F27" s="1" t="str">
        <f>"its "&amp;(2&lt;3)&amp;" blue"</f>
        <v>its TRUE blue</v>
      </c>
      <c r="G27" s="2" t="str">
        <f>F9&amp;B7&amp;D7&amp;E19</f>
        <v>99999999990alph4Num3ric</v>
      </c>
      <c r="H27" s="2" t="e">
        <f>K7:L10&amp;D7&amp;F7</f>
        <v>#VALUE!</v>
      </c>
      <c r="I27" s="2" t="e">
        <f>P7:S10&amp;"test"</f>
        <v>#VALUE!</v>
      </c>
    </row>
    <row r="28" spans="1:24" x14ac:dyDescent="0.15">
      <c r="C28" s="1" t="s">
        <v>1133</v>
      </c>
      <c r="D28" s="1" t="s">
        <v>225</v>
      </c>
      <c r="E28" s="1" t="s">
        <v>226</v>
      </c>
      <c r="F28" s="1" t="s">
        <v>227</v>
      </c>
      <c r="G28" s="2" t="s">
        <v>228</v>
      </c>
      <c r="H28" s="2" t="e">
        <v>#VALUE!</v>
      </c>
      <c r="I28" s="2" t="e">
        <v>#VALUE!</v>
      </c>
    </row>
    <row r="31" spans="1:24" x14ac:dyDescent="0.15">
      <c r="B31" s="1" t="s">
        <v>1134</v>
      </c>
      <c r="C31" s="1" t="s">
        <v>1135</v>
      </c>
      <c r="D31" s="1">
        <f>0/1</f>
        <v>0</v>
      </c>
      <c r="E31" s="1">
        <f>B11/B12</f>
        <v>-1</v>
      </c>
      <c r="F31" s="1">
        <f>C13/C17</f>
        <v>99999999999</v>
      </c>
      <c r="G31" s="2" t="e">
        <f>E10/D7</f>
        <v>#VALUE!</v>
      </c>
      <c r="H31" s="2" t="e">
        <f>E9/C8</f>
        <v>#VALUE!</v>
      </c>
      <c r="I31" s="2" t="e">
        <f>C8/D7</f>
        <v>#DIV/0!</v>
      </c>
      <c r="J31" s="2">
        <f>F7/E17</f>
        <v>0</v>
      </c>
      <c r="K31" s="2" t="e">
        <f>F7/E9</f>
        <v>#VALUE!</v>
      </c>
      <c r="L31" s="2" t="e">
        <f>E9/E15</f>
        <v>#VALUE!</v>
      </c>
      <c r="M31" s="2">
        <f>E17/E15</f>
        <v>2.9999899999999999</v>
      </c>
      <c r="N31" s="2">
        <f>E15/C9</f>
        <v>0.90909090909090906</v>
      </c>
      <c r="O31" s="2" t="e">
        <f>G7:J7/B8</f>
        <v>#VALUE!</v>
      </c>
      <c r="P31" s="2" t="e">
        <f>K7:K10/B8</f>
        <v>#VALUE!</v>
      </c>
      <c r="Q31" s="2" t="e">
        <f>P7:S8/B8</f>
        <v>#VALUE!</v>
      </c>
    </row>
    <row r="32" spans="1:24" x14ac:dyDescent="0.15">
      <c r="C32" s="1" t="s">
        <v>1136</v>
      </c>
      <c r="D32" s="1">
        <v>0</v>
      </c>
      <c r="E32" s="1">
        <v>-1</v>
      </c>
      <c r="F32" s="1">
        <v>99999999999</v>
      </c>
      <c r="G32" s="2" t="e">
        <v>#VALUE!</v>
      </c>
      <c r="H32" s="2" t="e">
        <v>#VALUE!</v>
      </c>
      <c r="I32" s="2" t="e">
        <v>#DIV/0!</v>
      </c>
      <c r="J32" s="2">
        <v>0</v>
      </c>
      <c r="K32" s="2" t="e">
        <v>#VALUE!</v>
      </c>
      <c r="L32" s="2" t="e">
        <v>#VALUE!</v>
      </c>
      <c r="M32" s="2">
        <v>2.9999899999999999</v>
      </c>
      <c r="N32" s="2">
        <v>0.90909090909090906</v>
      </c>
      <c r="O32" s="2" t="e">
        <v>#VALUE!</v>
      </c>
      <c r="P32" s="2" t="e">
        <v>#VALUE!</v>
      </c>
      <c r="Q32" s="2" t="e">
        <v>#VALUE!</v>
      </c>
    </row>
    <row r="33" spans="2:16" x14ac:dyDescent="0.15">
      <c r="B33" s="2"/>
      <c r="D33" s="2"/>
      <c r="E33" s="2"/>
      <c r="F33" s="2"/>
    </row>
    <row r="34" spans="2:16" x14ac:dyDescent="0.15">
      <c r="B34" s="2"/>
      <c r="D34" s="2"/>
      <c r="E34" s="2"/>
      <c r="F34" s="2"/>
    </row>
    <row r="35" spans="2:16" x14ac:dyDescent="0.15">
      <c r="B35" s="1" t="s">
        <v>1137</v>
      </c>
      <c r="C35" s="1" t="s">
        <v>1138</v>
      </c>
      <c r="D35" s="1" t="b">
        <f>B8=B8</f>
        <v>1</v>
      </c>
      <c r="E35" s="1" t="b">
        <f>1000000=999999.99</f>
        <v>0</v>
      </c>
      <c r="F35" s="1" t="b">
        <f>1.11111111111111=1.1111111111111</f>
        <v>0</v>
      </c>
      <c r="G35" s="2" t="b">
        <f>E8=E8</f>
        <v>1</v>
      </c>
      <c r="H35" s="2" t="b">
        <f>E8=E9</f>
        <v>0</v>
      </c>
      <c r="I35" s="2" t="b">
        <f>"1.1"=C9</f>
        <v>0</v>
      </c>
      <c r="J35" s="2" t="b">
        <f>1.1=C16</f>
        <v>0</v>
      </c>
      <c r="K35" s="2" t="b">
        <f>-200=200</f>
        <v>0</v>
      </c>
      <c r="L35" s="2" t="b">
        <f>""=D7</f>
        <v>1</v>
      </c>
      <c r="M35" s="2" t="b">
        <f>0=D7</f>
        <v>1</v>
      </c>
      <c r="N35" s="2" t="b">
        <f>FALSE=D7</f>
        <v>1</v>
      </c>
      <c r="O35" s="2" t="b">
        <f>""=0</f>
        <v>0</v>
      </c>
      <c r="P35" s="2" t="b">
        <f>FALSE=0</f>
        <v>0</v>
      </c>
    </row>
    <row r="36" spans="2:16" x14ac:dyDescent="0.15">
      <c r="C36" s="1" t="s">
        <v>1139</v>
      </c>
      <c r="D36" s="1" t="b">
        <v>1</v>
      </c>
      <c r="E36" s="1" t="b">
        <v>0</v>
      </c>
      <c r="F36" s="1" t="b">
        <v>0</v>
      </c>
      <c r="G36" s="2" t="b">
        <v>1</v>
      </c>
      <c r="H36" s="2" t="b">
        <v>0</v>
      </c>
      <c r="I36" s="2" t="b">
        <v>0</v>
      </c>
      <c r="J36" s="2" t="b">
        <v>0</v>
      </c>
      <c r="K36" s="2" t="b">
        <v>0</v>
      </c>
      <c r="L36" s="2" t="b">
        <v>1</v>
      </c>
      <c r="M36" s="2" t="b">
        <v>1</v>
      </c>
      <c r="N36" s="2" t="b">
        <v>1</v>
      </c>
      <c r="O36" s="2" t="b">
        <v>0</v>
      </c>
      <c r="P36" s="2" t="b">
        <v>0</v>
      </c>
    </row>
    <row r="37" spans="2:16" x14ac:dyDescent="0.15">
      <c r="G37" s="1"/>
      <c r="H37" s="1"/>
      <c r="I37" s="1"/>
      <c r="J37" s="1"/>
      <c r="K37" s="1"/>
    </row>
    <row r="38" spans="2:16" x14ac:dyDescent="0.15">
      <c r="G38" s="1"/>
      <c r="H38" s="1"/>
      <c r="I38" s="1"/>
      <c r="J38" s="1"/>
      <c r="K38" s="1"/>
    </row>
    <row r="39" spans="2:16" x14ac:dyDescent="0.15">
      <c r="B39" s="1" t="s">
        <v>1140</v>
      </c>
      <c r="C39" s="1" t="s">
        <v>1141</v>
      </c>
      <c r="D39" s="1" t="b">
        <f>2&gt;=2</f>
        <v>1</v>
      </c>
      <c r="E39" s="1" t="b">
        <f>B11&gt;=C12</f>
        <v>1</v>
      </c>
      <c r="F39" s="1" t="b">
        <f>C10&gt;=1.00001</f>
        <v>1</v>
      </c>
      <c r="G39" s="2" t="b">
        <f>D7&gt;=D8</f>
        <v>1</v>
      </c>
      <c r="H39" s="2" t="b">
        <f>E8&gt;=E10</f>
        <v>1</v>
      </c>
      <c r="I39" s="2" t="b">
        <f>E10&gt;=E8</f>
        <v>0</v>
      </c>
      <c r="J39" s="2" t="b">
        <f>F9&gt;=F9</f>
        <v>1</v>
      </c>
      <c r="K39" s="2" t="e">
        <f>G7:J7&gt;=G7:J7</f>
        <v>#VALUE!</v>
      </c>
      <c r="L39" s="2" t="e">
        <f>K7:K10&gt;=K7:K10</f>
        <v>#VALUE!</v>
      </c>
    </row>
    <row r="40" spans="2:16" x14ac:dyDescent="0.15">
      <c r="C40" s="1" t="s">
        <v>1142</v>
      </c>
      <c r="D40" s="1" t="b">
        <v>1</v>
      </c>
      <c r="E40" s="1" t="b">
        <v>1</v>
      </c>
      <c r="F40" s="1" t="b">
        <v>1</v>
      </c>
      <c r="G40" s="2" t="b">
        <v>1</v>
      </c>
      <c r="H40" s="2" t="b">
        <v>1</v>
      </c>
      <c r="I40" s="2" t="b">
        <v>0</v>
      </c>
      <c r="J40" s="2" t="b">
        <v>1</v>
      </c>
      <c r="K40" s="2" t="e">
        <v>#VALUE!</v>
      </c>
      <c r="L40" s="2" t="e">
        <v>#VALUE!</v>
      </c>
    </row>
    <row r="41" spans="2:16" x14ac:dyDescent="0.15">
      <c r="G41" s="1"/>
      <c r="H41" s="1"/>
      <c r="I41" s="1"/>
      <c r="J41" s="1"/>
      <c r="K41" s="1"/>
    </row>
    <row r="42" spans="2:16" x14ac:dyDescent="0.15">
      <c r="G42" s="1"/>
      <c r="H42" s="1"/>
      <c r="I42" s="1"/>
      <c r="J42" s="1"/>
      <c r="K42" s="1"/>
    </row>
    <row r="43" spans="2:16" x14ac:dyDescent="0.15">
      <c r="B43" s="1" t="s">
        <v>1143</v>
      </c>
      <c r="C43" s="1" t="s">
        <v>1144</v>
      </c>
      <c r="D43" s="1" t="b">
        <f>B7&gt;B11</f>
        <v>0</v>
      </c>
      <c r="E43" s="1" t="b">
        <f>B11&gt;B7</f>
        <v>1</v>
      </c>
      <c r="F43" s="1" t="b">
        <f>B7&gt;B12</f>
        <v>1</v>
      </c>
      <c r="G43" s="2" t="b">
        <f>B13&gt;C15</f>
        <v>0</v>
      </c>
      <c r="H43" s="2" t="b">
        <f>D7&gt;C8</f>
        <v>0</v>
      </c>
      <c r="I43" s="2" t="b">
        <f>D7&gt;C17</f>
        <v>1</v>
      </c>
      <c r="J43" s="2" t="b">
        <f>F14&gt;F13</f>
        <v>1</v>
      </c>
      <c r="K43" s="2" t="b">
        <f>E15&gt;E9</f>
        <v>0</v>
      </c>
      <c r="L43" s="2" t="e">
        <f>G7:J7&gt;F8</f>
        <v>#VALUE!</v>
      </c>
      <c r="M43" s="2" t="e">
        <f>K7:K10&gt;F11</f>
        <v>#VALUE!</v>
      </c>
      <c r="N43" s="2" t="b">
        <f>FALSE&gt;"TRUE"</f>
        <v>1</v>
      </c>
      <c r="O43" s="2" t="b">
        <f>TRUE&gt;"TRUER"</f>
        <v>1</v>
      </c>
    </row>
    <row r="44" spans="2:16" x14ac:dyDescent="0.15">
      <c r="C44" s="1" t="s">
        <v>1145</v>
      </c>
      <c r="D44" s="1" t="b">
        <v>0</v>
      </c>
      <c r="E44" s="1" t="b">
        <v>1</v>
      </c>
      <c r="F44" s="1" t="b">
        <v>1</v>
      </c>
      <c r="G44" s="2" t="b">
        <v>0</v>
      </c>
      <c r="H44" s="2" t="b">
        <v>0</v>
      </c>
      <c r="I44" s="2" t="b">
        <v>1</v>
      </c>
      <c r="J44" s="2" t="b">
        <v>1</v>
      </c>
      <c r="K44" s="2" t="b">
        <v>0</v>
      </c>
      <c r="L44" s="2" t="e">
        <v>#VALUE!</v>
      </c>
      <c r="M44" s="2" t="e">
        <v>#VALUE!</v>
      </c>
      <c r="N44" s="2" t="b">
        <v>1</v>
      </c>
      <c r="O44" s="2" t="b">
        <v>1</v>
      </c>
    </row>
    <row r="45" spans="2:16" x14ac:dyDescent="0.15">
      <c r="G45" s="1"/>
      <c r="H45" s="1"/>
      <c r="I45" s="1"/>
      <c r="J45" s="1"/>
      <c r="K45" s="1"/>
    </row>
    <row r="46" spans="2:16" x14ac:dyDescent="0.15">
      <c r="G46" s="1"/>
      <c r="H46" s="1"/>
      <c r="I46" s="1"/>
      <c r="J46" s="1"/>
      <c r="K46" s="1"/>
    </row>
    <row r="47" spans="2:16" x14ac:dyDescent="0.15">
      <c r="B47" s="1" t="s">
        <v>1209</v>
      </c>
      <c r="C47" s="1" t="s">
        <v>2</v>
      </c>
      <c r="D47" s="1">
        <f>G9:K9 I7:I12</f>
        <v>5.6788999999999996</v>
      </c>
      <c r="E47" s="1">
        <f>SUM(H:H H8:I8)</f>
        <v>2.9990000000000001</v>
      </c>
      <c r="F47" s="1" t="str">
        <f>D8:(E7) (E9):F8</f>
        <v>nospaces</v>
      </c>
      <c r="G47" s="1" t="e">
        <f>D8:(E7) (E10):F9</f>
        <v>#NULL!</v>
      </c>
      <c r="H47" s="1" t="e">
        <f>12:12 H10</f>
        <v>#NULL!</v>
      </c>
      <c r="I47" s="1"/>
      <c r="J47" s="1"/>
      <c r="K47" s="1"/>
    </row>
    <row r="48" spans="2:16" x14ac:dyDescent="0.15">
      <c r="C48" s="1" t="s">
        <v>0</v>
      </c>
      <c r="D48" s="1">
        <v>5.6788999999999996</v>
      </c>
      <c r="E48" s="1">
        <v>2.9990000000000001</v>
      </c>
      <c r="F48" s="1" t="s">
        <v>1117</v>
      </c>
      <c r="G48" s="1" t="e">
        <v>#NULL!</v>
      </c>
      <c r="H48" s="1" t="e">
        <v>#NULL!</v>
      </c>
      <c r="I48" s="1"/>
      <c r="J48" s="1"/>
      <c r="K48" s="1"/>
    </row>
    <row r="49" spans="2:20" x14ac:dyDescent="0.15">
      <c r="G49" s="1"/>
      <c r="H49" s="1"/>
      <c r="I49" s="1"/>
      <c r="J49" s="1"/>
      <c r="K49" s="1"/>
    </row>
    <row r="50" spans="2:20" x14ac:dyDescent="0.15">
      <c r="G50" s="1"/>
      <c r="H50" s="1"/>
      <c r="I50" s="1"/>
      <c r="J50" s="1"/>
      <c r="K50" s="1"/>
    </row>
    <row r="51" spans="2:20" x14ac:dyDescent="0.15">
      <c r="B51" s="1" t="s">
        <v>1146</v>
      </c>
      <c r="C51" s="1" t="s">
        <v>1147</v>
      </c>
      <c r="D51" s="1" t="b">
        <f>B7&lt;=C7</f>
        <v>1</v>
      </c>
      <c r="E51" s="1" t="b">
        <f>B8&lt;=C9</f>
        <v>1</v>
      </c>
      <c r="F51" s="1" t="b">
        <f>C8&lt;=C16</f>
        <v>0</v>
      </c>
      <c r="G51" s="2" t="b">
        <f>E8&lt;=E9</f>
        <v>1</v>
      </c>
      <c r="H51" s="2" t="b">
        <f>C9&lt;=E11</f>
        <v>1</v>
      </c>
      <c r="I51" s="2" t="b">
        <f>F10&lt;=F11</f>
        <v>0</v>
      </c>
      <c r="J51" s="2" t="b">
        <f>F12&lt;=E12</f>
        <v>0</v>
      </c>
      <c r="K51" s="2" t="b">
        <f>E17&lt;=C11</f>
        <v>0</v>
      </c>
      <c r="L51" s="2" t="e">
        <f>G7:J7&lt;=F8</f>
        <v>#VALUE!</v>
      </c>
      <c r="M51" s="2" t="e">
        <f>L7:L10&lt;=B7</f>
        <v>#VALUE!</v>
      </c>
    </row>
    <row r="52" spans="2:20" x14ac:dyDescent="0.15">
      <c r="C52" s="1" t="s">
        <v>1148</v>
      </c>
      <c r="D52" s="1" t="b">
        <v>1</v>
      </c>
      <c r="E52" s="1" t="b">
        <v>1</v>
      </c>
      <c r="F52" s="1" t="b">
        <v>0</v>
      </c>
      <c r="G52" s="2" t="b">
        <v>1</v>
      </c>
      <c r="H52" s="2" t="b">
        <v>1</v>
      </c>
      <c r="I52" s="2" t="b">
        <v>0</v>
      </c>
      <c r="J52" s="2" t="b">
        <v>0</v>
      </c>
      <c r="K52" s="2" t="b">
        <v>0</v>
      </c>
      <c r="L52" s="2" t="e">
        <v>#VALUE!</v>
      </c>
      <c r="M52" s="2" t="e">
        <v>#VALUE!</v>
      </c>
    </row>
    <row r="53" spans="2:20" x14ac:dyDescent="0.15">
      <c r="G53" s="1"/>
      <c r="H53" s="1"/>
      <c r="I53" s="1"/>
      <c r="J53" s="1"/>
      <c r="K53" s="1"/>
    </row>
    <row r="54" spans="2:20" x14ac:dyDescent="0.15">
      <c r="G54" s="1"/>
      <c r="H54" s="1"/>
      <c r="I54" s="1"/>
      <c r="J54" s="1"/>
      <c r="K54" s="1"/>
    </row>
    <row r="55" spans="2:20" x14ac:dyDescent="0.15">
      <c r="B55" s="1" t="s">
        <v>1149</v>
      </c>
      <c r="C55" s="1" t="s">
        <v>1150</v>
      </c>
      <c r="D55" s="1" t="b">
        <f>B7&lt;B8</f>
        <v>1</v>
      </c>
      <c r="E55" s="1" t="b">
        <f>B8&lt;B7</f>
        <v>0</v>
      </c>
      <c r="F55" s="1" t="b">
        <f>C10&lt;C9</f>
        <v>1</v>
      </c>
      <c r="G55" s="2" t="b">
        <f>E8&lt;E9</f>
        <v>1</v>
      </c>
      <c r="H55" s="2" t="b">
        <f>C9&lt;E16</f>
        <v>1</v>
      </c>
    </row>
    <row r="56" spans="2:20" x14ac:dyDescent="0.15">
      <c r="C56" s="1" t="s">
        <v>1151</v>
      </c>
      <c r="D56" s="1" t="b">
        <v>1</v>
      </c>
      <c r="E56" s="1" t="b">
        <v>0</v>
      </c>
      <c r="F56" s="1" t="b">
        <v>1</v>
      </c>
      <c r="G56" s="1" t="b">
        <v>1</v>
      </c>
      <c r="H56" s="1" t="b">
        <v>1</v>
      </c>
      <c r="I56" s="1"/>
      <c r="J56" s="1"/>
      <c r="K56" s="1"/>
    </row>
    <row r="57" spans="2:20" x14ac:dyDescent="0.15">
      <c r="G57" s="1"/>
      <c r="H57" s="1"/>
      <c r="I57" s="1"/>
      <c r="J57" s="1"/>
      <c r="K57" s="1"/>
    </row>
    <row r="59" spans="2:20" x14ac:dyDescent="0.15">
      <c r="B59" s="1" t="s">
        <v>1152</v>
      </c>
      <c r="C59" s="1" t="s">
        <v>1153</v>
      </c>
      <c r="D59" s="1">
        <f>1*0</f>
        <v>0</v>
      </c>
      <c r="E59" s="1" t="e">
        <f>"test"*0</f>
        <v>#VALUE!</v>
      </c>
      <c r="F59" s="1">
        <f>1.99999*0.033</f>
        <v>6.5999669999999996E-2</v>
      </c>
      <c r="G59" s="2">
        <f>B10*C11</f>
        <v>1601.9946600000001</v>
      </c>
      <c r="H59" s="2">
        <f>D7*C8</f>
        <v>0</v>
      </c>
      <c r="I59" s="2" t="e">
        <f>E7*C7</f>
        <v>#VALUE!</v>
      </c>
      <c r="J59" s="2">
        <f>A7:J7*B15</f>
        <v>-4</v>
      </c>
      <c r="K59" s="2" t="e">
        <f>K7:K10*B10</f>
        <v>#VALUE!</v>
      </c>
      <c r="L59" s="2">
        <f>J1:J59*B8</f>
        <v>-4</v>
      </c>
      <c r="M59" s="2" t="e">
        <f>""*"1"</f>
        <v>#VALUE!</v>
      </c>
      <c r="N59" s="2">
        <f>"1"*1</f>
        <v>1</v>
      </c>
      <c r="O59" s="2">
        <f>TRUE*34</f>
        <v>34</v>
      </c>
      <c r="P59" s="2">
        <f>FALSE*2</f>
        <v>0</v>
      </c>
      <c r="Q59" s="2" t="e">
        <f>B18*B16</f>
        <v>#VALUE!</v>
      </c>
    </row>
    <row r="60" spans="2:20" x14ac:dyDescent="0.15">
      <c r="C60" s="1" t="s">
        <v>1154</v>
      </c>
      <c r="D60" s="1">
        <v>0</v>
      </c>
      <c r="E60" s="1" t="e">
        <v>#VALUE!</v>
      </c>
      <c r="F60" s="1">
        <v>6.5999669999999996E-2</v>
      </c>
      <c r="G60" s="1">
        <v>1601.9946600000001</v>
      </c>
      <c r="H60" s="1">
        <v>0</v>
      </c>
      <c r="I60" s="1" t="e">
        <v>#VALUE!</v>
      </c>
      <c r="J60" s="1">
        <v>-4</v>
      </c>
      <c r="K60" s="1" t="e">
        <v>#VALUE!</v>
      </c>
      <c r="L60" s="2">
        <v>-4</v>
      </c>
      <c r="M60" s="2" t="e">
        <v>#VALUE!</v>
      </c>
      <c r="N60" s="2">
        <v>1</v>
      </c>
      <c r="O60" s="2">
        <v>34</v>
      </c>
      <c r="P60" s="2">
        <v>0</v>
      </c>
      <c r="Q60" s="2" t="e">
        <v>#VALUE!</v>
      </c>
    </row>
    <row r="61" spans="2:20" x14ac:dyDescent="0.15">
      <c r="G61" s="1"/>
      <c r="H61" s="1"/>
      <c r="I61" s="1"/>
      <c r="J61" s="1"/>
      <c r="K61" s="1"/>
    </row>
    <row r="63" spans="2:20" x14ac:dyDescent="0.15">
      <c r="B63" s="1" t="s">
        <v>1155</v>
      </c>
      <c r="C63" s="1" t="s">
        <v>1156</v>
      </c>
      <c r="D63" s="1" t="b">
        <f>B7&lt;&gt;B7</f>
        <v>0</v>
      </c>
      <c r="E63" s="1" t="b">
        <f>"TRUE"&lt;&gt;B16</f>
        <v>1</v>
      </c>
      <c r="F63" s="1" t="b">
        <f>"TRUE"&lt;&gt;B18</f>
        <v>0</v>
      </c>
      <c r="G63" s="2" t="b">
        <f>FALSE&lt;&gt;B19</f>
        <v>1</v>
      </c>
      <c r="H63" s="2" t="b">
        <f>C8&lt;&gt;0.00001001</f>
        <v>1</v>
      </c>
      <c r="I63" s="2" t="b">
        <f>E9&lt;&gt;"spaces"</f>
        <v>1</v>
      </c>
      <c r="J63" s="2" t="b">
        <f>E11&lt;&gt;"beginsWithSpace"</f>
        <v>1</v>
      </c>
      <c r="K63" s="2" t="b">
        <f>1&lt;&gt;E15</f>
        <v>1</v>
      </c>
      <c r="L63" s="2" t="b">
        <f>E17&lt;&gt;C17</f>
        <v>1</v>
      </c>
      <c r="M63" s="2" t="b">
        <f>F14&lt;&gt;F14</f>
        <v>0</v>
      </c>
      <c r="N63" s="2" t="b">
        <f>"blanksIncl"&lt;&gt;G11</f>
        <v>0</v>
      </c>
      <c r="O63" s="2" t="e">
        <f>G7:J7&lt;&gt;G7:J7</f>
        <v>#VALUE!</v>
      </c>
      <c r="P63" s="2" t="e">
        <f>P7:S8&lt;&gt;P7:S8</f>
        <v>#VALUE!</v>
      </c>
      <c r="Q63" s="2" t="b">
        <f>P7:S7&lt;&gt;Q7:R7</f>
        <v>0</v>
      </c>
      <c r="R63" s="2" t="e">
        <f>P7:P10&lt;&gt;S7:S10</f>
        <v>#VALUE!</v>
      </c>
      <c r="S63" s="2" t="b">
        <f>""&lt;&gt;D7</f>
        <v>0</v>
      </c>
      <c r="T63" s="2" t="b">
        <f>0&lt;&gt;D7</f>
        <v>0</v>
      </c>
    </row>
    <row r="64" spans="2:20" x14ac:dyDescent="0.15">
      <c r="C64" s="1" t="s">
        <v>1157</v>
      </c>
      <c r="D64" s="1" t="b">
        <v>0</v>
      </c>
      <c r="E64" s="1" t="b">
        <v>1</v>
      </c>
      <c r="F64" s="1" t="b">
        <v>0</v>
      </c>
      <c r="G64" s="1" t="b">
        <v>1</v>
      </c>
      <c r="H64" s="1" t="b">
        <v>1</v>
      </c>
      <c r="I64" s="1" t="b">
        <v>1</v>
      </c>
      <c r="J64" s="1" t="b">
        <v>1</v>
      </c>
      <c r="K64" s="1" t="b">
        <v>1</v>
      </c>
      <c r="L64" s="2" t="b">
        <v>1</v>
      </c>
      <c r="M64" s="2" t="b">
        <v>0</v>
      </c>
      <c r="N64" s="2" t="b">
        <v>0</v>
      </c>
      <c r="O64" s="2" t="e">
        <v>#VALUE!</v>
      </c>
      <c r="P64" s="2" t="e">
        <v>#VALUE!</v>
      </c>
      <c r="Q64" s="2" t="b">
        <v>0</v>
      </c>
      <c r="R64" s="2" t="e">
        <v>#VALUE!</v>
      </c>
      <c r="S64" s="2" t="b">
        <v>0</v>
      </c>
      <c r="T64" s="2" t="b">
        <v>0</v>
      </c>
    </row>
    <row r="65" spans="2:18" x14ac:dyDescent="0.15">
      <c r="G65" s="1"/>
      <c r="H65" s="1"/>
      <c r="I65" s="1"/>
      <c r="J65" s="1"/>
      <c r="K65" s="1"/>
    </row>
    <row r="66" spans="2:18" x14ac:dyDescent="0.15">
      <c r="G66" s="1"/>
      <c r="H66" s="1"/>
      <c r="I66" s="1"/>
      <c r="J66" s="1"/>
      <c r="K66" s="1"/>
    </row>
    <row r="67" spans="2:18" x14ac:dyDescent="0.15">
      <c r="B67" s="1" t="s">
        <v>1198</v>
      </c>
      <c r="C67" s="1" t="s">
        <v>2</v>
      </c>
      <c r="D67" s="1">
        <f>50%</f>
        <v>0.5</v>
      </c>
      <c r="E67" s="1">
        <f>"250"%</f>
        <v>2.5</v>
      </c>
      <c r="F67" s="1">
        <f>B16%</f>
        <v>0.01</v>
      </c>
      <c r="G67" s="1">
        <f>F13%</f>
        <v>2.9999899999999999E-2</v>
      </c>
      <c r="H67" s="1">
        <f>1000%%</f>
        <v>0.1</v>
      </c>
      <c r="I67" s="1"/>
      <c r="J67" s="1"/>
      <c r="K67" s="1"/>
    </row>
    <row r="68" spans="2:18" x14ac:dyDescent="0.15">
      <c r="C68" s="1" t="s">
        <v>0</v>
      </c>
      <c r="D68" s="1">
        <v>0.5</v>
      </c>
      <c r="E68" s="1">
        <v>2.5</v>
      </c>
      <c r="F68" s="1">
        <v>0.01</v>
      </c>
      <c r="G68" s="1">
        <v>2.9999899999999999E-2</v>
      </c>
      <c r="H68" s="1">
        <v>0.1</v>
      </c>
      <c r="I68" s="1"/>
      <c r="J68" s="1"/>
      <c r="K68" s="1"/>
    </row>
    <row r="69" spans="2:18" x14ac:dyDescent="0.15">
      <c r="G69" s="1"/>
      <c r="H69" s="1"/>
      <c r="I69" s="1"/>
      <c r="J69" s="1"/>
      <c r="K69" s="1"/>
    </row>
    <row r="71" spans="2:18" x14ac:dyDescent="0.15">
      <c r="B71" s="1" t="s">
        <v>1158</v>
      </c>
      <c r="C71" s="1" t="s">
        <v>1159</v>
      </c>
      <c r="D71" s="1">
        <f>2^5</f>
        <v>32</v>
      </c>
      <c r="E71" s="1">
        <f>1^99999</f>
        <v>1</v>
      </c>
      <c r="F71" s="1">
        <f>B13^0</f>
        <v>1</v>
      </c>
      <c r="G71" s="2" t="e">
        <f>C15^C9</f>
        <v>#NUM!</v>
      </c>
      <c r="H71" s="2">
        <f>B8^C9</f>
        <v>1</v>
      </c>
      <c r="I71" s="2">
        <f>C7^C9</f>
        <v>0</v>
      </c>
      <c r="J71" s="2">
        <f>B9^C9</f>
        <v>2.1435469250725863</v>
      </c>
      <c r="K71" s="2">
        <f>C15^B9</f>
        <v>1.0000200001000001</v>
      </c>
      <c r="L71" s="2">
        <f>B10^B14</f>
        <v>3.5068523895692182E-6</v>
      </c>
      <c r="M71" s="2" t="e">
        <f>G10^C7</f>
        <v>#VALUE!</v>
      </c>
      <c r="N71" s="2" t="e">
        <f>E7^C7</f>
        <v>#VALUE!</v>
      </c>
      <c r="O71" s="2" t="e">
        <f>H7:J7^C7</f>
        <v>#VALUE!</v>
      </c>
      <c r="P71" s="2">
        <f>N7:Q7^Q9</f>
        <v>1</v>
      </c>
      <c r="Q71" s="2" t="e">
        <f>P7:Q9^R7</f>
        <v>#VALUE!</v>
      </c>
      <c r="R71" s="2">
        <f>P70:P71^R9</f>
        <v>1</v>
      </c>
    </row>
    <row r="72" spans="2:18" x14ac:dyDescent="0.15">
      <c r="C72" s="1" t="s">
        <v>1160</v>
      </c>
      <c r="D72" s="1">
        <v>32</v>
      </c>
      <c r="E72" s="1">
        <v>1</v>
      </c>
      <c r="F72" s="1">
        <v>1</v>
      </c>
      <c r="G72" s="1" t="e">
        <v>#NUM!</v>
      </c>
      <c r="H72" s="1">
        <v>1</v>
      </c>
      <c r="I72" s="1">
        <v>0</v>
      </c>
      <c r="J72" s="1">
        <v>2.1435469250725863</v>
      </c>
      <c r="K72" s="1">
        <v>1.0000200001000001</v>
      </c>
      <c r="L72" s="2">
        <v>3.5068523895692182E-6</v>
      </c>
      <c r="M72" s="2" t="e">
        <v>#VALUE!</v>
      </c>
      <c r="N72" s="2" t="e">
        <v>#VALUE!</v>
      </c>
      <c r="O72" s="2" t="e">
        <v>#VALUE!</v>
      </c>
      <c r="P72" s="2">
        <v>1</v>
      </c>
      <c r="Q72" s="2" t="e">
        <v>#VALUE!</v>
      </c>
      <c r="R72" s="2">
        <v>1</v>
      </c>
    </row>
    <row r="73" spans="2:18" x14ac:dyDescent="0.15">
      <c r="G73" s="1"/>
      <c r="H73" s="1"/>
      <c r="I73" s="1"/>
      <c r="J73" s="1"/>
      <c r="K73" s="1"/>
    </row>
    <row r="74" spans="2:18" x14ac:dyDescent="0.15">
      <c r="G74" s="1"/>
      <c r="H74" s="1"/>
      <c r="I74" s="1"/>
      <c r="J74" s="1"/>
      <c r="K74" s="1"/>
    </row>
    <row r="75" spans="2:18" x14ac:dyDescent="0.15">
      <c r="B75" s="1" t="s">
        <v>1208</v>
      </c>
      <c r="C75" s="1" t="s">
        <v>2</v>
      </c>
      <c r="D75" s="1" t="str">
        <f>(B72):B78</f>
        <v>RangeEval</v>
      </c>
      <c r="E75" s="1">
        <f>SUM(J7:(I8))</f>
        <v>15</v>
      </c>
      <c r="G75" s="1"/>
      <c r="H75" s="1"/>
      <c r="I75" s="1"/>
      <c r="J75" s="1"/>
      <c r="K75" s="1"/>
    </row>
    <row r="76" spans="2:18" x14ac:dyDescent="0.15">
      <c r="C76" s="1" t="s">
        <v>0</v>
      </c>
      <c r="D76" s="1" t="s">
        <v>1208</v>
      </c>
      <c r="E76" s="1">
        <v>15</v>
      </c>
      <c r="G76" s="1"/>
      <c r="H76" s="1"/>
      <c r="I76" s="1"/>
      <c r="J76" s="1"/>
      <c r="K76" s="1"/>
    </row>
    <row r="77" spans="2:18" x14ac:dyDescent="0.15">
      <c r="G77" s="1"/>
      <c r="H77" s="1"/>
      <c r="I77" s="1"/>
      <c r="J77" s="1"/>
      <c r="K77" s="1"/>
    </row>
    <row r="79" spans="2:18" x14ac:dyDescent="0.15">
      <c r="B79" s="1" t="s">
        <v>1161</v>
      </c>
      <c r="C79" s="1" t="s">
        <v>1162</v>
      </c>
      <c r="D79" s="1">
        <f>B10-C9</f>
        <v>532.9</v>
      </c>
      <c r="E79" s="1">
        <f>9999-9999</f>
        <v>0</v>
      </c>
      <c r="F79" s="1">
        <f>C9-C16</f>
        <v>2.2000000000000002</v>
      </c>
      <c r="G79" s="2">
        <f>D8-D7</f>
        <v>0</v>
      </c>
      <c r="H79" s="2">
        <f>D7-C9</f>
        <v>-1.1000000000000001</v>
      </c>
      <c r="I79" s="2" t="e">
        <f>E7-C7</f>
        <v>#VALUE!</v>
      </c>
      <c r="J79" s="2">
        <f>B16-B17</f>
        <v>1</v>
      </c>
      <c r="K79" s="2" t="e">
        <f>B19-B18</f>
        <v>#VALUE!</v>
      </c>
      <c r="L79" s="2">
        <f>B17-B16</f>
        <v>-1</v>
      </c>
      <c r="M79" s="2" t="e">
        <f>M7:M10-N7:N10</f>
        <v>#VALUE!</v>
      </c>
      <c r="N79" s="2">
        <f>L10:O10-N9</f>
        <v>-344.99999000000003</v>
      </c>
      <c r="O79" s="2" t="e">
        <f>N10:P10-O8:O11</f>
        <v>#VALUE!</v>
      </c>
      <c r="P79" s="2" t="e">
        <f>I7-M9</f>
        <v>#VALUE!</v>
      </c>
    </row>
    <row r="80" spans="2:18" x14ac:dyDescent="0.15">
      <c r="C80" s="1" t="s">
        <v>1163</v>
      </c>
      <c r="D80" s="1">
        <v>532.9</v>
      </c>
      <c r="E80" s="1">
        <v>0</v>
      </c>
      <c r="F80" s="1">
        <v>2.2000000000000002</v>
      </c>
      <c r="G80" s="1">
        <v>0</v>
      </c>
      <c r="H80" s="1">
        <v>-1.1000000000000001</v>
      </c>
      <c r="I80" s="1" t="e">
        <v>#VALUE!</v>
      </c>
      <c r="J80" s="1">
        <v>1</v>
      </c>
      <c r="K80" s="1" t="e">
        <v>#VALUE!</v>
      </c>
      <c r="L80" s="2">
        <v>-1</v>
      </c>
      <c r="M80" s="2" t="e">
        <v>#VALUE!</v>
      </c>
      <c r="N80" s="2">
        <v>-344.99999000000003</v>
      </c>
      <c r="O80" s="2" t="e">
        <v>#VALUE!</v>
      </c>
      <c r="P80" s="2" t="e">
        <v>#VALUE!</v>
      </c>
    </row>
    <row r="81" spans="2:18" x14ac:dyDescent="0.15">
      <c r="G81" s="1"/>
      <c r="H81" s="1"/>
      <c r="I81" s="1"/>
      <c r="J81" s="1"/>
      <c r="K81" s="1"/>
    </row>
    <row r="83" spans="2:18" x14ac:dyDescent="0.15">
      <c r="B83" s="1" t="s">
        <v>1164</v>
      </c>
      <c r="C83" s="1" t="s">
        <v>1165</v>
      </c>
      <c r="D83" s="1">
        <f>-B9</f>
        <v>-2</v>
      </c>
      <c r="E83" s="1">
        <f>-B12</f>
        <v>9999999999</v>
      </c>
      <c r="F83" s="1">
        <f>-B16</f>
        <v>-1</v>
      </c>
      <c r="G83" s="2" t="e">
        <f>-F10:H10</f>
        <v>#VALUE!</v>
      </c>
      <c r="H83" s="2">
        <f>-G11:I11</f>
        <v>0</v>
      </c>
      <c r="I83" s="2" t="e">
        <f>-H10:J10</f>
        <v>#VALUE!</v>
      </c>
      <c r="J83" s="2" t="e">
        <f>-E7</f>
        <v>#VALUE!</v>
      </c>
      <c r="K83" s="2">
        <f>-F10</f>
        <v>-1.0000000000000001E-5</v>
      </c>
      <c r="L83" s="2" t="e">
        <f>-K7:L8</f>
        <v>#VALUE!</v>
      </c>
      <c r="M83" s="2" t="e">
        <f>-M7:M10</f>
        <v>#VALUE!</v>
      </c>
      <c r="N83" s="2">
        <f>-K10</f>
        <v>-4</v>
      </c>
      <c r="O83" s="2" t="e">
        <f>-B18</f>
        <v>#VALUE!</v>
      </c>
    </row>
    <row r="84" spans="2:18" x14ac:dyDescent="0.15">
      <c r="C84" s="1" t="s">
        <v>1166</v>
      </c>
      <c r="D84" s="1">
        <v>-2</v>
      </c>
      <c r="E84" s="1">
        <v>9999999999</v>
      </c>
      <c r="F84" s="1">
        <v>-1</v>
      </c>
      <c r="G84" s="1" t="e">
        <v>#VALUE!</v>
      </c>
      <c r="H84" s="1">
        <v>0</v>
      </c>
      <c r="I84" s="1" t="e">
        <v>#VALUE!</v>
      </c>
      <c r="J84" s="1" t="e">
        <v>#VALUE!</v>
      </c>
      <c r="K84" s="1">
        <v>-1.0000000000000001E-5</v>
      </c>
      <c r="L84" s="2" t="e">
        <v>#VALUE!</v>
      </c>
      <c r="M84" s="2" t="e">
        <v>#VALUE!</v>
      </c>
      <c r="N84" s="2">
        <v>-4</v>
      </c>
      <c r="O84" s="2" t="e">
        <v>#VALUE!</v>
      </c>
    </row>
    <row r="85" spans="2:18" x14ac:dyDescent="0.15">
      <c r="G85" s="1"/>
      <c r="H85" s="1"/>
      <c r="I85" s="1"/>
      <c r="J85" s="1"/>
      <c r="K85" s="1"/>
    </row>
    <row r="87" spans="2:18" x14ac:dyDescent="0.15">
      <c r="B87" t="s">
        <v>1167</v>
      </c>
      <c r="C87" s="1" t="s">
        <v>1168</v>
      </c>
      <c r="D87" s="1">
        <f>2</f>
        <v>2</v>
      </c>
      <c r="E87" s="1">
        <f>+C14</f>
        <v>-2.9999899999999999</v>
      </c>
      <c r="F87" s="1">
        <f>+D7</f>
        <v>0</v>
      </c>
      <c r="G87" s="1">
        <f>+F9:H9</f>
        <v>2.3456000000000001</v>
      </c>
      <c r="H87" s="1">
        <f>+G85:G87</f>
        <v>2.3456000000000001</v>
      </c>
      <c r="I87" s="1">
        <f>+H12:J12</f>
        <v>454</v>
      </c>
      <c r="J87" s="1" t="e">
        <f>+I7:J8</f>
        <v>#VALUE!</v>
      </c>
      <c r="K87" s="1">
        <f>+J11:L11</f>
        <v>0</v>
      </c>
      <c r="L87" s="2" t="str">
        <f>+E7</f>
        <v/>
      </c>
      <c r="M87" s="2" t="str">
        <f>+L10:N10</f>
        <v>col</v>
      </c>
      <c r="N87" s="2" t="e">
        <f>-"hello"</f>
        <v>#VALUE!</v>
      </c>
    </row>
    <row r="88" spans="2:18" x14ac:dyDescent="0.15">
      <c r="B88" s="2"/>
      <c r="C88" s="1" t="s">
        <v>1169</v>
      </c>
      <c r="D88" s="2">
        <v>2</v>
      </c>
      <c r="E88" s="2">
        <v>-2.9999899999999999</v>
      </c>
      <c r="F88" s="2">
        <v>0</v>
      </c>
      <c r="G88" s="2">
        <v>2.3456000000000001</v>
      </c>
      <c r="H88" s="2">
        <v>2.3456000000000001</v>
      </c>
      <c r="I88" s="2">
        <v>454</v>
      </c>
      <c r="J88" s="2" t="e">
        <v>#VALUE!</v>
      </c>
      <c r="K88" s="2">
        <v>0</v>
      </c>
      <c r="L88" s="2" t="s">
        <v>229</v>
      </c>
      <c r="M88" s="2" t="s">
        <v>1123</v>
      </c>
      <c r="N88" s="2" t="e">
        <v>#VALUE!</v>
      </c>
    </row>
    <row r="89" spans="2:18" x14ac:dyDescent="0.15">
      <c r="B89" s="2"/>
      <c r="D89" s="2"/>
      <c r="E89" s="2"/>
      <c r="F89" s="2"/>
    </row>
    <row r="90" spans="2:18" x14ac:dyDescent="0.15">
      <c r="D90" s="2"/>
      <c r="E90" s="2"/>
      <c r="F90" s="2"/>
    </row>
    <row r="91" spans="2:18" x14ac:dyDescent="0.15">
      <c r="B91" s="25" t="s">
        <v>1191</v>
      </c>
      <c r="D91" s="2"/>
      <c r="E91" s="2"/>
      <c r="F91" s="2"/>
    </row>
    <row r="92" spans="2:18" x14ac:dyDescent="0.15">
      <c r="B92" s="2"/>
      <c r="D92" s="2"/>
      <c r="E92" s="2"/>
      <c r="F92" s="2"/>
    </row>
    <row r="93" spans="2:18" x14ac:dyDescent="0.15">
      <c r="B93" s="2"/>
      <c r="C93" s="2"/>
      <c r="D93" s="2"/>
      <c r="E93" s="2"/>
      <c r="F93" s="2"/>
    </row>
    <row r="94" spans="2:18" ht="18" x14ac:dyDescent="0.2">
      <c r="B94" s="85" t="s">
        <v>1170</v>
      </c>
      <c r="C94" s="85"/>
    </row>
    <row r="96" spans="2:18" x14ac:dyDescent="0.15">
      <c r="B96" s="1" t="s">
        <v>1171</v>
      </c>
      <c r="C96" s="1" t="s">
        <v>1172</v>
      </c>
      <c r="D96" s="1">
        <f>ABS(B7)</f>
        <v>0</v>
      </c>
      <c r="E96" s="1">
        <f>ABS(B12)</f>
        <v>9999999999</v>
      </c>
      <c r="F96" s="1">
        <f>ABS(C14)</f>
        <v>2.9999899999999999</v>
      </c>
      <c r="G96" s="2">
        <f>ABS(D7)</f>
        <v>0</v>
      </c>
      <c r="H96" s="2" t="e">
        <f>ABS(E7)</f>
        <v>#VALUE!</v>
      </c>
      <c r="I96" s="2">
        <f>ABS("1")</f>
        <v>1</v>
      </c>
      <c r="J96" s="2">
        <f>ABS(F10)</f>
        <v>1.0000000000000001E-5</v>
      </c>
      <c r="K96" s="2">
        <f>ABS(F13)</f>
        <v>2.9999899999999999</v>
      </c>
      <c r="L96" s="2" t="e">
        <f>ABS(G7:G12)</f>
        <v>#VALUE!</v>
      </c>
      <c r="M96" s="2" t="e">
        <f>ABS(K7:N7)</f>
        <v>#VALUE!</v>
      </c>
      <c r="N96" s="2">
        <f>ABS(K9:N9)</f>
        <v>345</v>
      </c>
      <c r="O96" s="2">
        <f>ABS(N88:N96)</f>
        <v>345</v>
      </c>
      <c r="P96" s="2" t="e">
        <f>ABS(B18)</f>
        <v>#VALUE!</v>
      </c>
      <c r="Q96" s="2">
        <f>ABS(B16)</f>
        <v>1</v>
      </c>
      <c r="R96" s="2">
        <f>ABS(B17)</f>
        <v>0</v>
      </c>
    </row>
    <row r="97" spans="2:18" x14ac:dyDescent="0.15">
      <c r="C97" s="1" t="s">
        <v>1173</v>
      </c>
      <c r="D97" s="1">
        <v>0</v>
      </c>
      <c r="E97" s="1">
        <v>9999999999</v>
      </c>
      <c r="F97" s="1">
        <v>2.9999899999999999</v>
      </c>
      <c r="G97" s="2">
        <v>0</v>
      </c>
      <c r="H97" s="2" t="e">
        <v>#VALUE!</v>
      </c>
      <c r="I97" s="2">
        <v>1</v>
      </c>
      <c r="J97" s="2">
        <v>1.0000000000000001E-5</v>
      </c>
      <c r="K97" s="2">
        <v>2.9999899999999999</v>
      </c>
      <c r="L97" s="2" t="e">
        <v>#VALUE!</v>
      </c>
      <c r="M97" s="2" t="e">
        <v>#VALUE!</v>
      </c>
      <c r="N97" s="2">
        <v>345</v>
      </c>
      <c r="O97" s="2">
        <v>345</v>
      </c>
      <c r="P97" s="2" t="e">
        <v>#VALUE!</v>
      </c>
      <c r="Q97" s="2">
        <v>1</v>
      </c>
      <c r="R97" s="2">
        <v>0</v>
      </c>
    </row>
    <row r="100" spans="2:18" x14ac:dyDescent="0.15">
      <c r="B100" s="1" t="s">
        <v>1174</v>
      </c>
      <c r="C100" s="1" t="s">
        <v>1175</v>
      </c>
    </row>
    <row r="101" spans="2:18" x14ac:dyDescent="0.15">
      <c r="C101" s="1" t="s">
        <v>1176</v>
      </c>
    </row>
    <row r="104" spans="2:18" x14ac:dyDescent="0.15">
      <c r="B104" s="1" t="s">
        <v>1177</v>
      </c>
      <c r="C104" s="1" t="s">
        <v>1178</v>
      </c>
      <c r="D104" s="1">
        <f>ACOS(0)</f>
        <v>1.5707963267948966</v>
      </c>
      <c r="E104" s="1" t="e">
        <f>ACOS(B9)</f>
        <v>#NUM!</v>
      </c>
      <c r="F104" s="1">
        <f>ACOS(B7)</f>
        <v>1.5707963267948966</v>
      </c>
      <c r="G104" s="2">
        <f>ACOS(B16)</f>
        <v>0</v>
      </c>
      <c r="H104" s="2">
        <f>ACOS(B17)</f>
        <v>1.5707963267948966</v>
      </c>
      <c r="I104" s="2">
        <f>ACOS(C17)</f>
        <v>1.5708063267948966</v>
      </c>
      <c r="J104" s="2">
        <f>ACOS(D7)</f>
        <v>1.5707963267948966</v>
      </c>
      <c r="K104" s="2" t="e">
        <f>ACOS(E7)</f>
        <v>#VALUE!</v>
      </c>
      <c r="L104" s="2">
        <f>ACOS(F8)</f>
        <v>0</v>
      </c>
      <c r="M104" s="2" t="e">
        <f>ACOS(G9)</f>
        <v>#NUM!</v>
      </c>
      <c r="N104" s="2">
        <f>ACOS(K8:N8)</f>
        <v>1.5707963267948966</v>
      </c>
      <c r="O104" s="2">
        <f>ACOS(L102:L105)</f>
        <v>1.5707963267948966</v>
      </c>
      <c r="P104" s="2" t="e">
        <f>ACOS(O7:P8)</f>
        <v>#VALUE!</v>
      </c>
      <c r="Q104" s="2">
        <f>ACOS("0.5")</f>
        <v>1.0471975511965976</v>
      </c>
    </row>
    <row r="105" spans="2:18" x14ac:dyDescent="0.15">
      <c r="C105" s="1" t="s">
        <v>1179</v>
      </c>
      <c r="D105" s="1">
        <v>1.5707963267948966</v>
      </c>
      <c r="E105" s="1" t="e">
        <v>#NUM!</v>
      </c>
      <c r="F105" s="1">
        <v>1.5707963267948966</v>
      </c>
      <c r="G105" s="2">
        <v>0</v>
      </c>
      <c r="H105" s="2">
        <v>1.5707963267948966</v>
      </c>
      <c r="I105" s="2">
        <v>1.5708063267948966</v>
      </c>
      <c r="J105" s="2">
        <v>1.5707963267948966</v>
      </c>
      <c r="K105" s="2" t="e">
        <v>#VALUE!</v>
      </c>
      <c r="L105" s="2">
        <v>0</v>
      </c>
      <c r="M105" s="2" t="e">
        <v>#NUM!</v>
      </c>
      <c r="N105" s="2">
        <v>1.5707963267948966</v>
      </c>
      <c r="O105" s="2">
        <v>1.5707963267948966</v>
      </c>
      <c r="P105" s="2" t="e">
        <v>#VALUE!</v>
      </c>
      <c r="Q105" s="2">
        <v>1.0471975511965976</v>
      </c>
    </row>
    <row r="108" spans="2:18" x14ac:dyDescent="0.15">
      <c r="B108" s="1" t="s">
        <v>1180</v>
      </c>
      <c r="C108" s="1" t="s">
        <v>1181</v>
      </c>
      <c r="D108" s="1">
        <f>ACOSH(B9)</f>
        <v>1.3169578969248166</v>
      </c>
      <c r="E108" s="1" t="e">
        <f>ACOSH(B12)</f>
        <v>#NUM!</v>
      </c>
      <c r="F108" s="1" t="e">
        <f>ACOSH(B13)</f>
        <v>#NUM!</v>
      </c>
      <c r="G108" s="2">
        <f>ACOSH(B16)</f>
        <v>0</v>
      </c>
      <c r="H108" s="2" t="e">
        <f>ACOSH(B18)</f>
        <v>#VALUE!</v>
      </c>
      <c r="I108" s="2" t="e">
        <f>ACOSH(D7)</f>
        <v>#NUM!</v>
      </c>
      <c r="J108" s="2" t="e">
        <f>ACOSH(C7)</f>
        <v>#NUM!</v>
      </c>
      <c r="K108" s="2" t="e">
        <f>ACOSH(C14)</f>
        <v>#NUM!</v>
      </c>
      <c r="L108" s="2" t="e">
        <f>ACOSH(E14)</f>
        <v>#NUM!</v>
      </c>
      <c r="M108" s="2">
        <f>ACOSH(K8:N8)</f>
        <v>1.7627471740390861</v>
      </c>
      <c r="N108" s="2">
        <f>ACOSH(M106:M109)</f>
        <v>1.1676387512082018</v>
      </c>
      <c r="O108" s="2" t="e">
        <f>ACOSH(N9:O10)</f>
        <v>#VALUE!</v>
      </c>
    </row>
    <row r="109" spans="2:18" x14ac:dyDescent="0.15">
      <c r="C109" s="1" t="s">
        <v>1182</v>
      </c>
      <c r="D109" s="1">
        <v>1.3169578969248166</v>
      </c>
      <c r="E109" s="1" t="e">
        <v>#NUM!</v>
      </c>
      <c r="F109" s="1" t="e">
        <v>#NUM!</v>
      </c>
      <c r="G109" s="2">
        <v>0</v>
      </c>
      <c r="H109" s="2" t="e">
        <v>#VALUE!</v>
      </c>
      <c r="I109" s="2" t="e">
        <v>#NUM!</v>
      </c>
      <c r="J109" s="2" t="e">
        <v>#NUM!</v>
      </c>
      <c r="K109" s="2" t="e">
        <v>#NUM!</v>
      </c>
      <c r="L109" s="2" t="e">
        <v>#NUM!</v>
      </c>
      <c r="M109" s="2">
        <v>1.7627471740390861</v>
      </c>
      <c r="N109" s="2">
        <v>1.1676387512082018</v>
      </c>
      <c r="O109" s="2" t="e">
        <v>#VALUE!</v>
      </c>
    </row>
    <row r="112" spans="2:18" x14ac:dyDescent="0.15">
      <c r="B112" s="1" t="s">
        <v>1183</v>
      </c>
      <c r="C112" s="1" t="s">
        <v>1184</v>
      </c>
    </row>
    <row r="113" spans="2:6" x14ac:dyDescent="0.15">
      <c r="C113" s="1" t="s">
        <v>1185</v>
      </c>
    </row>
    <row r="116" spans="2:6" x14ac:dyDescent="0.15">
      <c r="B116" s="1" t="s">
        <v>1186</v>
      </c>
      <c r="C116" s="1" t="s">
        <v>1187</v>
      </c>
      <c r="D116" s="1" t="s">
        <v>247</v>
      </c>
    </row>
    <row r="117" spans="2:6" x14ac:dyDescent="0.15">
      <c r="C117" s="1" t="s">
        <v>1188</v>
      </c>
      <c r="D117" s="1" t="s">
        <v>247</v>
      </c>
    </row>
    <row r="120" spans="2:6" x14ac:dyDescent="0.15">
      <c r="B120" s="1" t="s">
        <v>1189</v>
      </c>
      <c r="C120" s="1" t="s">
        <v>1190</v>
      </c>
      <c r="D120" s="1" t="s">
        <v>247</v>
      </c>
    </row>
    <row r="121" spans="2:6" x14ac:dyDescent="0.15">
      <c r="C121" s="1" t="s">
        <v>908</v>
      </c>
      <c r="D121" s="1" t="s">
        <v>247</v>
      </c>
    </row>
    <row r="124" spans="2:6" x14ac:dyDescent="0.15">
      <c r="B124" s="1" t="s">
        <v>909</v>
      </c>
      <c r="C124" s="1" t="s">
        <v>910</v>
      </c>
      <c r="D124" s="1" t="s">
        <v>247</v>
      </c>
    </row>
    <row r="125" spans="2:6" x14ac:dyDescent="0.15">
      <c r="C125" s="1" t="s">
        <v>911</v>
      </c>
      <c r="D125" s="1" t="s">
        <v>247</v>
      </c>
    </row>
    <row r="128" spans="2:6" x14ac:dyDescent="0.15">
      <c r="B128" s="1" t="s">
        <v>912</v>
      </c>
      <c r="C128" s="1" t="s">
        <v>913</v>
      </c>
      <c r="D128" s="1" t="str">
        <f>ADDRESS(2,3)</f>
        <v>$C$2</v>
      </c>
      <c r="E128" s="1" t="str">
        <f>ADDRESS(2,3,2)</f>
        <v>C$2</v>
      </c>
      <c r="F128" s="1" t="str">
        <f>ADDRESS(2,3,3,TRUE,"[Book1]Sheet1")</f>
        <v>[Book1]Sheet1!$C2</v>
      </c>
    </row>
    <row r="129" spans="2:16" x14ac:dyDescent="0.15">
      <c r="C129" s="1" t="s">
        <v>914</v>
      </c>
      <c r="D129" s="1" t="s">
        <v>1211</v>
      </c>
      <c r="E129" s="1" t="s">
        <v>1212</v>
      </c>
      <c r="F129" s="44" t="s">
        <v>1213</v>
      </c>
    </row>
    <row r="132" spans="2:16" x14ac:dyDescent="0.15">
      <c r="B132" s="1" t="s">
        <v>915</v>
      </c>
      <c r="C132" s="1" t="s">
        <v>916</v>
      </c>
      <c r="D132" s="1" t="s">
        <v>247</v>
      </c>
    </row>
    <row r="133" spans="2:16" x14ac:dyDescent="0.15">
      <c r="C133" s="1" t="s">
        <v>917</v>
      </c>
      <c r="D133" s="1" t="s">
        <v>247</v>
      </c>
    </row>
    <row r="136" spans="2:16" x14ac:dyDescent="0.15">
      <c r="B136" s="1" t="s">
        <v>918</v>
      </c>
      <c r="C136" s="1" t="s">
        <v>919</v>
      </c>
      <c r="D136" s="1" t="b">
        <f>AND(B7:B9,C9,D7,E7)</f>
        <v>0</v>
      </c>
      <c r="E136" s="1" t="b">
        <f>AND(C9,B15)</f>
        <v>1</v>
      </c>
      <c r="F136" s="1" t="e">
        <f>AND(E7)</f>
        <v>#VALUE!</v>
      </c>
      <c r="G136" s="2" t="b">
        <f>AND(B7:E10)</f>
        <v>0</v>
      </c>
      <c r="H136" s="2" t="b">
        <f>AND(F12:I12)</f>
        <v>1</v>
      </c>
      <c r="I136" s="2" t="e">
        <f>AND(E14,E17,"1")</f>
        <v>#VALUE!</v>
      </c>
      <c r="J136" s="2" t="b">
        <f>AND("1",1)</f>
        <v>1</v>
      </c>
      <c r="K136" s="2" t="e">
        <f>AND(E15,G13)</f>
        <v>#VALUE!</v>
      </c>
      <c r="L136" s="2" t="b">
        <f>AND(E15:E17,C13:C15,B9:B10)</f>
        <v>1</v>
      </c>
      <c r="M136" s="2" t="b">
        <f>AND(B16:B17)</f>
        <v>0</v>
      </c>
      <c r="N136" s="2" t="b">
        <f>AND(B15:B16)</f>
        <v>1</v>
      </c>
      <c r="O136" s="2" t="b">
        <f>AND(B17:B18)</f>
        <v>0</v>
      </c>
      <c r="P136" s="2" t="e">
        <f>AND(B18:B19)</f>
        <v>#VALUE!</v>
      </c>
    </row>
    <row r="137" spans="2:16" x14ac:dyDescent="0.15">
      <c r="C137" s="1" t="s">
        <v>920</v>
      </c>
      <c r="D137" s="1" t="b">
        <v>0</v>
      </c>
      <c r="E137" s="1" t="b">
        <v>1</v>
      </c>
      <c r="F137" s="1" t="e">
        <v>#VALUE!</v>
      </c>
      <c r="G137" s="2" t="b">
        <v>0</v>
      </c>
      <c r="H137" s="2" t="b">
        <v>1</v>
      </c>
      <c r="I137" s="2" t="e">
        <v>#VALUE!</v>
      </c>
      <c r="J137" s="2" t="e">
        <v>#VALUE!</v>
      </c>
      <c r="K137" s="2" t="e">
        <v>#VALUE!</v>
      </c>
      <c r="L137" s="2" t="b">
        <v>1</v>
      </c>
      <c r="M137" s="2" t="b">
        <v>0</v>
      </c>
      <c r="N137" s="2" t="b">
        <v>1</v>
      </c>
      <c r="O137" s="2" t="b">
        <v>0</v>
      </c>
      <c r="P137" s="2" t="e">
        <v>#VALUE!</v>
      </c>
    </row>
    <row r="140" spans="2:16" x14ac:dyDescent="0.15">
      <c r="B140" s="1" t="s">
        <v>921</v>
      </c>
      <c r="C140" s="1" t="s">
        <v>922</v>
      </c>
      <c r="D140" s="1" t="s">
        <v>247</v>
      </c>
    </row>
    <row r="141" spans="2:16" x14ac:dyDescent="0.15">
      <c r="C141" s="1" t="s">
        <v>923</v>
      </c>
      <c r="D141" s="1" t="s">
        <v>247</v>
      </c>
    </row>
    <row r="144" spans="2:16" x14ac:dyDescent="0.15">
      <c r="B144" s="1" t="s">
        <v>924</v>
      </c>
      <c r="C144" s="1" t="s">
        <v>925</v>
      </c>
    </row>
    <row r="145" spans="2:16" x14ac:dyDescent="0.15">
      <c r="C145" s="1" t="s">
        <v>926</v>
      </c>
    </row>
    <row r="148" spans="2:16" x14ac:dyDescent="0.15">
      <c r="B148" s="1" t="s">
        <v>927</v>
      </c>
      <c r="C148" s="1" t="s">
        <v>928</v>
      </c>
    </row>
    <row r="149" spans="2:16" x14ac:dyDescent="0.15">
      <c r="C149" s="1" t="s">
        <v>929</v>
      </c>
    </row>
    <row r="152" spans="2:16" x14ac:dyDescent="0.15">
      <c r="B152" s="1" t="s">
        <v>930</v>
      </c>
      <c r="C152" s="1" t="s">
        <v>931</v>
      </c>
    </row>
    <row r="153" spans="2:16" x14ac:dyDescent="0.15">
      <c r="C153" s="1" t="s">
        <v>932</v>
      </c>
    </row>
    <row r="156" spans="2:16" x14ac:dyDescent="0.15">
      <c r="B156" s="1" t="s">
        <v>933</v>
      </c>
      <c r="C156" s="1" t="s">
        <v>934</v>
      </c>
      <c r="D156" s="1">
        <f>ASIN(B7)</f>
        <v>0</v>
      </c>
      <c r="E156" s="1">
        <f>ASIN(C8)</f>
        <v>1.0000000000166668E-5</v>
      </c>
      <c r="F156" s="1" t="e">
        <f>ASIN(B10)</f>
        <v>#NUM!</v>
      </c>
      <c r="G156" s="2" t="e">
        <f>ASIN(B13)</f>
        <v>#NUM!</v>
      </c>
      <c r="H156" s="2">
        <f>ASIN(B17)</f>
        <v>0</v>
      </c>
      <c r="I156" s="2">
        <f>ASIN(B16)</f>
        <v>1.5707963267948966</v>
      </c>
      <c r="J156" s="2">
        <f>ASIN(D7)</f>
        <v>0</v>
      </c>
      <c r="K156" s="2" t="e">
        <f>ASIN(E7)</f>
        <v>#VALUE!</v>
      </c>
      <c r="L156" s="2">
        <f>ASIN(F8)</f>
        <v>1.5707963267948966</v>
      </c>
      <c r="M156" s="2">
        <f>ASIN(I11:M11)</f>
        <v>0</v>
      </c>
      <c r="N156" s="2" t="e">
        <f>ASIN(H12:J12)</f>
        <v>#VALUE!</v>
      </c>
      <c r="O156" s="2">
        <f>ASIN(M154:M157)</f>
        <v>0</v>
      </c>
      <c r="P156" s="2">
        <f>ASIN("1")</f>
        <v>1.5707963267948966</v>
      </c>
    </row>
    <row r="157" spans="2:16" x14ac:dyDescent="0.15">
      <c r="C157" s="1" t="s">
        <v>1050</v>
      </c>
      <c r="D157" s="1">
        <v>0</v>
      </c>
      <c r="E157" s="1">
        <v>1.0000000000166668E-5</v>
      </c>
      <c r="F157" s="1" t="e">
        <v>#NUM!</v>
      </c>
      <c r="G157" s="2" t="e">
        <v>#NUM!</v>
      </c>
      <c r="H157" s="2">
        <v>0</v>
      </c>
      <c r="I157" s="2">
        <v>1.5707963267948966</v>
      </c>
      <c r="J157" s="2">
        <v>0</v>
      </c>
      <c r="K157" s="2" t="e">
        <v>#VALUE!</v>
      </c>
      <c r="L157" s="2">
        <v>1.5707963267948966</v>
      </c>
      <c r="M157" s="2">
        <v>0</v>
      </c>
      <c r="N157" s="2" t="e">
        <v>#VALUE!</v>
      </c>
      <c r="O157" s="2">
        <v>0</v>
      </c>
      <c r="P157" s="2">
        <v>1.5707963267948966</v>
      </c>
    </row>
    <row r="160" spans="2:16" x14ac:dyDescent="0.15">
      <c r="B160" s="1" t="s">
        <v>1051</v>
      </c>
      <c r="C160" s="1" t="s">
        <v>1052</v>
      </c>
      <c r="D160" s="1">
        <f>ASINH(B7)</f>
        <v>0</v>
      </c>
      <c r="E160" s="1">
        <f>ASINH(B8)</f>
        <v>0.88137358701954294</v>
      </c>
      <c r="F160" s="1">
        <f>ASINH(B11)</f>
        <v>23.718998110400403</v>
      </c>
      <c r="G160" s="2">
        <f>ASINH(B13)</f>
        <v>-6.9735438962320844</v>
      </c>
      <c r="H160" s="2">
        <f>ASINH(B16)</f>
        <v>0.88137358701954294</v>
      </c>
      <c r="I160" s="2">
        <f>ASINH(D7)</f>
        <v>0</v>
      </c>
      <c r="J160" s="2" t="e">
        <f>ASINH(E7)</f>
        <v>#VALUE!</v>
      </c>
      <c r="K160" s="2" t="e">
        <f>ASINH("")</f>
        <v>#VALUE!</v>
      </c>
      <c r="L160" s="2">
        <f>ASINH("1")</f>
        <v>0.88137358701954294</v>
      </c>
      <c r="M160" s="2" t="e">
        <f>ASINH(J10:M10)</f>
        <v>#VALUE!</v>
      </c>
      <c r="N160" s="2">
        <f>ASINH(L11:O11)</f>
        <v>0</v>
      </c>
      <c r="O160" s="2">
        <f>ASINH(L158:L161)</f>
        <v>0.79495776876387869</v>
      </c>
      <c r="P160" s="2" t="e">
        <f>ASINH(O9:P11)</f>
        <v>#VALUE!</v>
      </c>
    </row>
    <row r="161" spans="2:16" x14ac:dyDescent="0.15">
      <c r="C161" s="1" t="s">
        <v>1053</v>
      </c>
      <c r="D161" s="1">
        <v>0</v>
      </c>
      <c r="E161" s="1">
        <v>0.88137358701954294</v>
      </c>
      <c r="F161" s="1">
        <v>23.718998110400403</v>
      </c>
      <c r="G161" s="2">
        <v>-6.9735438962311251</v>
      </c>
      <c r="H161" s="2">
        <v>0.88137358701954294</v>
      </c>
      <c r="I161" s="2">
        <v>0</v>
      </c>
      <c r="J161" s="2" t="e">
        <v>#VALUE!</v>
      </c>
      <c r="K161" s="2" t="e">
        <v>#VALUE!</v>
      </c>
      <c r="L161" s="2">
        <v>0.88137358701954294</v>
      </c>
      <c r="M161" s="2" t="e">
        <v>#VALUE!</v>
      </c>
      <c r="N161" s="2">
        <v>0</v>
      </c>
      <c r="O161" s="2">
        <v>0.79495776876387869</v>
      </c>
      <c r="P161" s="2" t="e">
        <v>#VALUE!</v>
      </c>
    </row>
    <row r="164" spans="2:16" x14ac:dyDescent="0.15">
      <c r="B164" s="1" t="s">
        <v>1054</v>
      </c>
      <c r="C164" s="1" t="s">
        <v>1055</v>
      </c>
      <c r="D164" s="1">
        <f>ATAN(B7)</f>
        <v>0</v>
      </c>
      <c r="E164" s="1">
        <f>ATAN(B10)</f>
        <v>1.5689236698079085</v>
      </c>
      <c r="F164" s="1">
        <f>ATAN(B16)</f>
        <v>0.78539816339744828</v>
      </c>
      <c r="G164" s="2">
        <f>ATAN(D7)</f>
        <v>0</v>
      </c>
      <c r="H164" s="2" t="e">
        <f>ATAN(E7)</f>
        <v>#VALUE!</v>
      </c>
      <c r="I164" s="2">
        <f>ATAN(E15)</f>
        <v>0.78539816339744828</v>
      </c>
      <c r="J164" s="2">
        <f>ATAN("1")</f>
        <v>0.78539816339744828</v>
      </c>
      <c r="K164" s="2" t="e">
        <f>ATAN(F12)</f>
        <v>#VALUE!</v>
      </c>
      <c r="L164" s="2">
        <f>ATAN(F10)</f>
        <v>9.9999999996666679E-6</v>
      </c>
      <c r="M164" s="2" t="e">
        <f>ATAN(K10:N10)</f>
        <v>#VALUE!</v>
      </c>
      <c r="N164" s="2">
        <f>ATAN(L11:N11)</f>
        <v>0</v>
      </c>
      <c r="O164" s="2">
        <f>ATAN(N162:N165)</f>
        <v>0</v>
      </c>
      <c r="P164" s="2" t="e">
        <f>ATAN(O7:P8)</f>
        <v>#VALUE!</v>
      </c>
    </row>
    <row r="165" spans="2:16" x14ac:dyDescent="0.15">
      <c r="C165" s="1" t="s">
        <v>1056</v>
      </c>
      <c r="D165" s="1">
        <v>0</v>
      </c>
      <c r="E165" s="1">
        <v>1.5689236698079085</v>
      </c>
      <c r="F165" s="1">
        <v>0.78539816339744828</v>
      </c>
      <c r="G165" s="2">
        <v>0</v>
      </c>
      <c r="H165" s="2" t="e">
        <v>#VALUE!</v>
      </c>
      <c r="I165" s="2">
        <v>0.78539816339744828</v>
      </c>
      <c r="J165" s="2">
        <v>0.78539816339744828</v>
      </c>
      <c r="K165" s="2" t="e">
        <v>#VALUE!</v>
      </c>
      <c r="L165" s="2">
        <v>9.9999999996666679E-6</v>
      </c>
      <c r="M165" s="2" t="e">
        <v>#VALUE!</v>
      </c>
      <c r="N165" s="2">
        <v>0</v>
      </c>
      <c r="O165" s="2">
        <v>0</v>
      </c>
      <c r="P165" s="2" t="e">
        <v>#VALUE!</v>
      </c>
    </row>
    <row r="168" spans="2:16" x14ac:dyDescent="0.15">
      <c r="B168" s="1" t="s">
        <v>1057</v>
      </c>
      <c r="C168" s="1" t="s">
        <v>1058</v>
      </c>
      <c r="D168" s="1" t="e">
        <f>ATAN2(B7,B7)</f>
        <v>#DIV/0!</v>
      </c>
      <c r="E168" s="1">
        <f>ATAN2(B7,B8)</f>
        <v>1.5707963267948966</v>
      </c>
      <c r="F168" s="1">
        <f>ATAN2(B12,C9)</f>
        <v>3.1415926534797931</v>
      </c>
      <c r="G168" s="2">
        <f>ATAN2(B15,B16)</f>
        <v>2.3561944901923448</v>
      </c>
      <c r="H168" s="2" t="e">
        <f>ATAN2(B18,B16)</f>
        <v>#VALUE!</v>
      </c>
      <c r="I168" s="2">
        <f>ATAN2(G12:I12,J9)</f>
        <v>1.4952630018344298E-2</v>
      </c>
      <c r="J168" s="2">
        <f>ATAN2(I167:I169,I11:K11)</f>
        <v>6.6877856917807108E-4</v>
      </c>
      <c r="K168" s="2" t="e">
        <f>ATAN2(K7:K8,J9:K9)</f>
        <v>#VALUE!</v>
      </c>
      <c r="L168" s="2" t="e">
        <f>ATAN2(K9:L10,2)</f>
        <v>#VALUE!</v>
      </c>
      <c r="M168" s="2">
        <f>ATAN2("1",TRUE)</f>
        <v>0.78539816339744828</v>
      </c>
      <c r="N168" s="2">
        <f>ATAN2(1,0)</f>
        <v>0</v>
      </c>
      <c r="O168" s="2" t="e">
        <f>ATAN2(#N/A,#NAME?)</f>
        <v>#N/A</v>
      </c>
    </row>
    <row r="169" spans="2:16" x14ac:dyDescent="0.15">
      <c r="C169" s="1" t="s">
        <v>1059</v>
      </c>
      <c r="D169" s="1" t="e">
        <v>#DIV/0!</v>
      </c>
      <c r="E169" s="1">
        <v>1.5707963267948966</v>
      </c>
      <c r="F169" s="1">
        <v>3.1415926534797931</v>
      </c>
      <c r="G169" s="2">
        <v>2.3561944901923448</v>
      </c>
      <c r="H169" s="2" t="e">
        <v>#VALUE!</v>
      </c>
      <c r="I169" s="2">
        <v>1.4952630018344298E-2</v>
      </c>
      <c r="J169" s="2">
        <v>6.6877856917807108E-4</v>
      </c>
      <c r="K169" s="2" t="e">
        <v>#VALUE!</v>
      </c>
      <c r="L169" s="2" t="e">
        <v>#VALUE!</v>
      </c>
      <c r="M169" s="2">
        <v>0.78539816339744828</v>
      </c>
      <c r="N169" s="2">
        <v>0</v>
      </c>
      <c r="O169" s="2" t="e">
        <v>#N/A</v>
      </c>
    </row>
    <row r="172" spans="2:16" x14ac:dyDescent="0.15">
      <c r="B172" s="1" t="s">
        <v>1060</v>
      </c>
      <c r="C172" s="1" t="s">
        <v>1061</v>
      </c>
      <c r="D172" s="1">
        <f>ATANH(B7)</f>
        <v>0</v>
      </c>
      <c r="E172" s="1" t="e">
        <f>ATANH(C9)</f>
        <v>#NUM!</v>
      </c>
      <c r="F172" s="1" t="e">
        <f>ATANH(B13)</f>
        <v>#NUM!</v>
      </c>
      <c r="G172" s="2" t="e">
        <f>ATANH(B16)</f>
        <v>#NUM!</v>
      </c>
      <c r="H172" s="2">
        <f>ATANH(B17)</f>
        <v>0</v>
      </c>
      <c r="I172" s="2" t="e">
        <f>ATANH(E7)</f>
        <v>#VALUE!</v>
      </c>
      <c r="J172" s="2" t="e">
        <f>ATANH(F12)</f>
        <v>#VALUE!</v>
      </c>
      <c r="K172" s="2" t="e">
        <f>ATANH(K7:M7)</f>
        <v>#NUM!</v>
      </c>
      <c r="L172" s="2">
        <f>ATANH(K11:M11)</f>
        <v>0</v>
      </c>
      <c r="M172" s="2">
        <f>ATANH(L171:L173)</f>
        <v>0</v>
      </c>
      <c r="N172" s="2" t="e">
        <f>ATANH(M9:O10)</f>
        <v>#VALUE!</v>
      </c>
    </row>
    <row r="173" spans="2:16" x14ac:dyDescent="0.15">
      <c r="C173" s="1" t="s">
        <v>1062</v>
      </c>
      <c r="D173" s="1">
        <v>0</v>
      </c>
      <c r="E173" s="1" t="e">
        <v>#NUM!</v>
      </c>
      <c r="F173" s="1" t="e">
        <v>#NUM!</v>
      </c>
      <c r="G173" s="2" t="e">
        <v>#NUM!</v>
      </c>
      <c r="H173" s="2">
        <v>0</v>
      </c>
      <c r="I173" s="2" t="e">
        <v>#VALUE!</v>
      </c>
      <c r="J173" s="2" t="e">
        <v>#VALUE!</v>
      </c>
      <c r="K173" s="2" t="e">
        <v>#NUM!</v>
      </c>
      <c r="L173" s="2">
        <v>0</v>
      </c>
      <c r="M173" s="2">
        <v>0</v>
      </c>
      <c r="N173" s="2" t="e">
        <v>#VALUE!</v>
      </c>
    </row>
    <row r="176" spans="2:16" x14ac:dyDescent="0.15">
      <c r="B176" s="1" t="s">
        <v>1063</v>
      </c>
      <c r="C176" s="1" t="s">
        <v>1064</v>
      </c>
      <c r="D176" s="1">
        <f>AVEDEV(B7:C7,C11,B16:B17)</f>
        <v>1.3333288888888888</v>
      </c>
      <c r="E176" s="1">
        <f>AVEDEV(C7:D9)</f>
        <v>0.48888666666666669</v>
      </c>
      <c r="F176" s="1" t="e">
        <f>AVEDEV(D7:E9)</f>
        <v>#NUM!</v>
      </c>
      <c r="G176" s="2" t="e">
        <f>AVEDEV(E13:E17)</f>
        <v>#NUM!</v>
      </c>
      <c r="H176" s="2">
        <f>AVEDEV(C7:E11)</f>
        <v>0.8239943999999999</v>
      </c>
      <c r="I176" s="2">
        <f>AVEDEV(C7:C11)</f>
        <v>0.8239943999999999</v>
      </c>
      <c r="J176" s="2">
        <f>AVEDEV(F8:H10)</f>
        <v>2187499999.3499279</v>
      </c>
      <c r="K176" s="2">
        <f>AVEDEV(H7:J10)</f>
        <v>1.0796920000000001</v>
      </c>
      <c r="L176" s="2">
        <f>AVEDEV(TRUE, FALSE)</f>
        <v>0.5</v>
      </c>
    </row>
    <row r="177" spans="2:12" x14ac:dyDescent="0.15">
      <c r="C177" s="1" t="s">
        <v>1065</v>
      </c>
      <c r="D177" s="1">
        <v>1.3333288888888888</v>
      </c>
      <c r="E177" s="1">
        <v>0.48888666666666669</v>
      </c>
      <c r="F177" s="1" t="e">
        <v>#NUM!</v>
      </c>
      <c r="G177" s="2" t="e">
        <v>#NUM!</v>
      </c>
      <c r="H177" s="2">
        <v>0.8239943999999999</v>
      </c>
      <c r="I177" s="2">
        <v>0.8239943999999999</v>
      </c>
      <c r="J177" s="2">
        <v>2187499999.3499279</v>
      </c>
      <c r="K177" s="2">
        <v>1.0796920000000001</v>
      </c>
      <c r="L177" s="2">
        <v>0.5</v>
      </c>
    </row>
    <row r="180" spans="2:12" x14ac:dyDescent="0.15">
      <c r="B180" s="1" t="s">
        <v>1066</v>
      </c>
      <c r="C180" s="1" t="s">
        <v>1067</v>
      </c>
      <c r="D180" s="1">
        <f>AVERAGE(B7:C15,B16:C17,D8:D16)</f>
        <v>-4.0893554731909327E-9</v>
      </c>
      <c r="E180" s="1" t="e">
        <f>AVERAGE(D7:D15)</f>
        <v>#DIV/0!</v>
      </c>
      <c r="F180" s="1" t="e">
        <f>AVERAGE(D9:E16)</f>
        <v>#DIV/0!</v>
      </c>
      <c r="G180" s="2">
        <f>AVERAGE("1",B8:B9)</f>
        <v>1.3333333333333333</v>
      </c>
      <c r="H180" s="2">
        <f>AVERAGE(F11,G8)</f>
        <v>0.50049999999999994</v>
      </c>
      <c r="I180" s="2">
        <f>AVERAGE(F8:H10)</f>
        <v>1250000001.6002886</v>
      </c>
      <c r="J180" s="2">
        <f>AVERAGE(TRUE, FALSE)</f>
        <v>0.5</v>
      </c>
    </row>
    <row r="181" spans="2:12" x14ac:dyDescent="0.15">
      <c r="C181" s="1" t="s">
        <v>1068</v>
      </c>
      <c r="D181" s="1">
        <v>-4.0893554731909327E-9</v>
      </c>
      <c r="E181" s="1" t="e">
        <v>#DIV/0!</v>
      </c>
      <c r="F181" s="1" t="e">
        <v>#DIV/0!</v>
      </c>
      <c r="G181" s="2">
        <v>1.3333333333333333</v>
      </c>
      <c r="H181" s="2">
        <v>0.50049999999999994</v>
      </c>
      <c r="I181" s="2">
        <v>1250000001.6002886</v>
      </c>
      <c r="J181" s="2">
        <v>0.5</v>
      </c>
    </row>
    <row r="184" spans="2:12" x14ac:dyDescent="0.15">
      <c r="B184" s="1" t="s">
        <v>1069</v>
      </c>
      <c r="C184" s="1" t="s">
        <v>1070</v>
      </c>
      <c r="I184" s="25"/>
    </row>
    <row r="185" spans="2:12" x14ac:dyDescent="0.15">
      <c r="C185" s="1" t="s">
        <v>1071</v>
      </c>
    </row>
    <row r="188" spans="2:12" x14ac:dyDescent="0.15">
      <c r="B188" s="1" t="s">
        <v>1072</v>
      </c>
      <c r="C188" s="1" t="s">
        <v>1073</v>
      </c>
    </row>
    <row r="189" spans="2:12" x14ac:dyDescent="0.15">
      <c r="C189" s="1" t="s">
        <v>1074</v>
      </c>
    </row>
    <row r="192" spans="2:12" x14ac:dyDescent="0.15">
      <c r="B192" s="1" t="s">
        <v>1075</v>
      </c>
      <c r="C192" s="1" t="s">
        <v>1076</v>
      </c>
    </row>
    <row r="193" spans="2:8" x14ac:dyDescent="0.15">
      <c r="C193" s="1" t="s">
        <v>962</v>
      </c>
    </row>
    <row r="196" spans="2:8" x14ac:dyDescent="0.15">
      <c r="B196" s="1" t="s">
        <v>963</v>
      </c>
      <c r="C196" s="1" t="s">
        <v>964</v>
      </c>
    </row>
    <row r="197" spans="2:8" x14ac:dyDescent="0.15">
      <c r="C197" s="1" t="s">
        <v>965</v>
      </c>
    </row>
    <row r="200" spans="2:8" x14ac:dyDescent="0.15">
      <c r="B200" s="1" t="s">
        <v>1226</v>
      </c>
      <c r="C200" s="1" t="s">
        <v>2</v>
      </c>
      <c r="D200" s="62">
        <f>_xludf.BIN2DEC(1100100)</f>
        <v>100</v>
      </c>
      <c r="E200" s="62">
        <f>_xludf.BIN2DEC(1111111111)</f>
        <v>-1</v>
      </c>
      <c r="F200" s="60">
        <f>_xludf.BIN2DEC(111111)</f>
        <v>63</v>
      </c>
      <c r="G200" s="60">
        <f>_xludf.BIN2DEC(101010101)</f>
        <v>341</v>
      </c>
      <c r="H200" s="60" t="e">
        <f>_xludf.BIN2DEC(11001001100100)</f>
        <v>#NUM!</v>
      </c>
    </row>
    <row r="201" spans="2:8" x14ac:dyDescent="0.15">
      <c r="C201" s="1" t="s">
        <v>0</v>
      </c>
      <c r="D201" s="1">
        <v>100</v>
      </c>
      <c r="E201" s="1">
        <v>-1</v>
      </c>
      <c r="F201" s="1">
        <v>63</v>
      </c>
      <c r="G201" s="2">
        <v>341</v>
      </c>
      <c r="H201" s="60" t="e">
        <v>#NUM!</v>
      </c>
    </row>
    <row r="204" spans="2:8" x14ac:dyDescent="0.15">
      <c r="B204" s="1" t="s">
        <v>966</v>
      </c>
      <c r="C204" s="1" t="s">
        <v>967</v>
      </c>
      <c r="D204" s="1" t="s">
        <v>247</v>
      </c>
    </row>
    <row r="205" spans="2:8" x14ac:dyDescent="0.15">
      <c r="C205" s="1" t="s">
        <v>968</v>
      </c>
      <c r="D205" s="1" t="s">
        <v>247</v>
      </c>
    </row>
    <row r="208" spans="2:8" x14ac:dyDescent="0.15">
      <c r="B208" s="1" t="s">
        <v>969</v>
      </c>
      <c r="C208" s="1" t="s">
        <v>970</v>
      </c>
      <c r="D208" s="1" t="s">
        <v>247</v>
      </c>
    </row>
    <row r="209" spans="2:13" x14ac:dyDescent="0.15">
      <c r="C209" s="1" t="s">
        <v>971</v>
      </c>
      <c r="D209" s="1" t="s">
        <v>247</v>
      </c>
    </row>
    <row r="212" spans="2:13" x14ac:dyDescent="0.15">
      <c r="B212" s="1" t="s">
        <v>972</v>
      </c>
      <c r="C212" s="1" t="s">
        <v>973</v>
      </c>
    </row>
    <row r="213" spans="2:13" x14ac:dyDescent="0.15">
      <c r="C213" s="1" t="s">
        <v>974</v>
      </c>
    </row>
    <row r="216" spans="2:13" x14ac:dyDescent="0.15">
      <c r="B216" s="1" t="s">
        <v>975</v>
      </c>
      <c r="C216" s="1" t="s">
        <v>976</v>
      </c>
      <c r="D216" s="1">
        <f>CEILING(B10,B9)</f>
        <v>534</v>
      </c>
      <c r="E216" s="1">
        <f>CEILING(C11,C9)</f>
        <v>3.3000000000000003</v>
      </c>
      <c r="F216" s="1">
        <f>CEILING(D9,D10)</f>
        <v>0</v>
      </c>
      <c r="G216" s="2">
        <f>CEILING(C12,D11)</f>
        <v>0</v>
      </c>
      <c r="H216" s="2">
        <f>CEILING(E17,E15)</f>
        <v>3</v>
      </c>
      <c r="I216" s="2">
        <f>CEILING(F13,F10)</f>
        <v>2.9999900000000004</v>
      </c>
      <c r="J216" s="2">
        <f>CEILING(I9:J9,H214:H217)</f>
        <v>9</v>
      </c>
      <c r="K216" s="2" t="e">
        <f>CEILING(J8:K9,1)</f>
        <v>#VALUE!</v>
      </c>
      <c r="L216" s="2" t="e">
        <f>CEILING(G10,G7)</f>
        <v>#VALUE!</v>
      </c>
      <c r="M216" s="2">
        <f>CEILING(0,0)</f>
        <v>0</v>
      </c>
    </row>
    <row r="217" spans="2:13" x14ac:dyDescent="0.15">
      <c r="C217" s="1" t="s">
        <v>977</v>
      </c>
      <c r="D217" s="1">
        <v>534</v>
      </c>
      <c r="E217" s="1">
        <v>3.3</v>
      </c>
      <c r="F217" s="1">
        <v>0</v>
      </c>
      <c r="G217" s="2">
        <v>0</v>
      </c>
      <c r="H217" s="2">
        <v>3</v>
      </c>
      <c r="I217" s="2">
        <v>2.9999900000000004</v>
      </c>
      <c r="J217" s="2">
        <v>9</v>
      </c>
      <c r="K217" s="2" t="e">
        <v>#VALUE!</v>
      </c>
      <c r="L217" s="2" t="e">
        <v>#VALUE!</v>
      </c>
      <c r="M217" s="2">
        <v>0</v>
      </c>
    </row>
    <row r="220" spans="2:13" x14ac:dyDescent="0.15">
      <c r="B220" s="1" t="s">
        <v>978</v>
      </c>
      <c r="C220" s="1" t="s">
        <v>979</v>
      </c>
    </row>
    <row r="221" spans="2:13" x14ac:dyDescent="0.15">
      <c r="C221" s="1" t="s">
        <v>980</v>
      </c>
    </row>
    <row r="224" spans="2:13" x14ac:dyDescent="0.15">
      <c r="B224" s="1" t="s">
        <v>981</v>
      </c>
      <c r="C224" s="1" t="s">
        <v>982</v>
      </c>
      <c r="D224" s="1" t="str">
        <f>CHAR(65)</f>
        <v>A</v>
      </c>
      <c r="E224" s="1" t="str">
        <f>CHAR(33)</f>
        <v>!</v>
      </c>
      <c r="F224" s="1" t="e">
        <f>CHAR(-1)</f>
        <v>#VALUE!</v>
      </c>
    </row>
    <row r="225" spans="2:6" x14ac:dyDescent="0.15">
      <c r="C225" s="1" t="s">
        <v>983</v>
      </c>
      <c r="D225" s="1" t="s">
        <v>1200</v>
      </c>
      <c r="E225" s="1" t="s">
        <v>1214</v>
      </c>
      <c r="F225" s="1" t="e">
        <v>#VALUE!</v>
      </c>
    </row>
    <row r="228" spans="2:6" x14ac:dyDescent="0.15">
      <c r="B228" s="1" t="s">
        <v>984</v>
      </c>
      <c r="C228" s="1" t="s">
        <v>985</v>
      </c>
      <c r="D228" s="1" t="s">
        <v>247</v>
      </c>
    </row>
    <row r="229" spans="2:6" x14ac:dyDescent="0.15">
      <c r="C229" s="1" t="s">
        <v>986</v>
      </c>
      <c r="D229" s="1" t="s">
        <v>247</v>
      </c>
    </row>
    <row r="232" spans="2:6" x14ac:dyDescent="0.15">
      <c r="B232" s="1" t="s">
        <v>987</v>
      </c>
      <c r="C232" s="1" t="s">
        <v>988</v>
      </c>
    </row>
    <row r="233" spans="2:6" x14ac:dyDescent="0.15">
      <c r="C233" s="1" t="s">
        <v>989</v>
      </c>
    </row>
    <row r="236" spans="2:6" x14ac:dyDescent="0.15">
      <c r="B236" s="1" t="s">
        <v>990</v>
      </c>
      <c r="C236" s="1" t="s">
        <v>991</v>
      </c>
    </row>
    <row r="237" spans="2:6" x14ac:dyDescent="0.15">
      <c r="C237" s="1" t="s">
        <v>992</v>
      </c>
    </row>
    <row r="240" spans="2:6" x14ac:dyDescent="0.15">
      <c r="B240" s="1" t="s">
        <v>993</v>
      </c>
      <c r="C240" s="1" t="s">
        <v>994</v>
      </c>
    </row>
    <row r="241" spans="2:9" x14ac:dyDescent="0.15">
      <c r="C241" s="1" t="s">
        <v>995</v>
      </c>
    </row>
    <row r="244" spans="2:9" x14ac:dyDescent="0.15">
      <c r="B244" s="1" t="s">
        <v>996</v>
      </c>
      <c r="C244" s="1" t="s">
        <v>997</v>
      </c>
      <c r="D244" s="1">
        <f>CHOOSE(1,2,3)</f>
        <v>2</v>
      </c>
      <c r="E244" s="1" t="e">
        <f>CHOOSE(#REF!, 1)</f>
        <v>#REF!</v>
      </c>
      <c r="F244" s="1" t="e">
        <f>CHOOSE(2,#N/A,#NULL!)</f>
        <v>#NULL!</v>
      </c>
      <c r="G244" s="2">
        <f>CHOOSE(2,#REF!,3)</f>
        <v>3</v>
      </c>
      <c r="H244" s="2">
        <f>CHOOSE(1.9,5,6)</f>
        <v>5</v>
      </c>
    </row>
    <row r="245" spans="2:9" x14ac:dyDescent="0.15">
      <c r="C245" s="1" t="s">
        <v>998</v>
      </c>
      <c r="D245" s="1">
        <v>2</v>
      </c>
      <c r="E245" s="1" t="e">
        <v>#REF!</v>
      </c>
      <c r="F245" s="1" t="e">
        <v>#NULL!</v>
      </c>
      <c r="G245" s="2">
        <v>3</v>
      </c>
      <c r="H245" s="2">
        <v>5</v>
      </c>
    </row>
    <row r="248" spans="2:9" x14ac:dyDescent="0.15">
      <c r="B248" s="1" t="s">
        <v>999</v>
      </c>
      <c r="C248" s="1" t="s">
        <v>1000</v>
      </c>
      <c r="D248" s="1" t="str">
        <f>CLEAN(CHAR(7)&amp;"text"&amp;CHAR(7))</f>
        <v>text</v>
      </c>
    </row>
    <row r="249" spans="2:9" x14ac:dyDescent="0.15">
      <c r="C249" s="1" t="s">
        <v>1001</v>
      </c>
      <c r="D249" s="1" t="s">
        <v>1215</v>
      </c>
    </row>
    <row r="252" spans="2:9" x14ac:dyDescent="0.15">
      <c r="B252" s="1" t="s">
        <v>1002</v>
      </c>
      <c r="C252" s="1" t="s">
        <v>1003</v>
      </c>
    </row>
    <row r="253" spans="2:9" x14ac:dyDescent="0.15">
      <c r="C253" s="1" t="s">
        <v>1004</v>
      </c>
    </row>
    <row r="256" spans="2:9" x14ac:dyDescent="0.15">
      <c r="B256" s="1" t="s">
        <v>1005</v>
      </c>
      <c r="C256" s="1" t="s">
        <v>1006</v>
      </c>
      <c r="D256" s="1">
        <f>COLUMN(C7)</f>
        <v>3</v>
      </c>
      <c r="E256" s="1">
        <f>COLUMN(1:2)</f>
        <v>1</v>
      </c>
      <c r="F256" s="1">
        <f>COLUMN(B7:B11)</f>
        <v>2</v>
      </c>
      <c r="G256" s="2">
        <f>COLUMN(B11:D11)</f>
        <v>2</v>
      </c>
      <c r="H256" s="2">
        <f>COLUMN(E15:G19)</f>
        <v>5</v>
      </c>
      <c r="I256" s="2">
        <f>COLUMN(G17:H21)</f>
        <v>7</v>
      </c>
    </row>
    <row r="257" spans="2:15" x14ac:dyDescent="0.15">
      <c r="C257" s="1" t="s">
        <v>1007</v>
      </c>
      <c r="D257" s="1">
        <v>3</v>
      </c>
      <c r="E257" s="1">
        <v>1</v>
      </c>
      <c r="F257" s="1">
        <v>2</v>
      </c>
      <c r="G257" s="2">
        <v>2</v>
      </c>
      <c r="H257" s="2">
        <v>5</v>
      </c>
      <c r="I257" s="2">
        <v>7</v>
      </c>
    </row>
    <row r="260" spans="2:15" x14ac:dyDescent="0.15">
      <c r="B260" s="1" t="s">
        <v>1008</v>
      </c>
      <c r="C260" s="1" t="s">
        <v>1009</v>
      </c>
      <c r="D260" s="1">
        <f>COLUMNS(C1:E4)</f>
        <v>3</v>
      </c>
    </row>
    <row r="261" spans="2:15" x14ac:dyDescent="0.15">
      <c r="C261" s="1" t="s">
        <v>1010</v>
      </c>
      <c r="D261" s="1">
        <v>3</v>
      </c>
    </row>
    <row r="264" spans="2:15" x14ac:dyDescent="0.15">
      <c r="B264" s="1" t="s">
        <v>1011</v>
      </c>
      <c r="C264" s="1" t="s">
        <v>1012</v>
      </c>
      <c r="D264" s="1">
        <f>COMBIN(B9,B8)</f>
        <v>2</v>
      </c>
      <c r="E264" s="1">
        <f>COMBIN(19,7)</f>
        <v>50388.000000000007</v>
      </c>
      <c r="F264" s="1">
        <f>COMBIN(E13:G13,2)</f>
        <v>1</v>
      </c>
      <c r="G264" s="2" t="e">
        <f>COMBIN(E13:F13,1)</f>
        <v>#VALUE!</v>
      </c>
      <c r="H264" s="2" t="e">
        <f>COMBIN(E15,E17)</f>
        <v>#NUM!</v>
      </c>
      <c r="I264" s="2" t="e">
        <f>COMBIN(C15,C16)</f>
        <v>#NUM!</v>
      </c>
      <c r="J264" s="2" t="e">
        <f>COMBIN(-23,12)</f>
        <v>#NUM!</v>
      </c>
      <c r="K264" s="2">
        <f>COMBIN(99,1)</f>
        <v>99</v>
      </c>
      <c r="L264" s="2">
        <f>COMBIN(23,D263:D265)</f>
        <v>253</v>
      </c>
    </row>
    <row r="265" spans="2:15" x14ac:dyDescent="0.15">
      <c r="C265" s="1" t="s">
        <v>1013</v>
      </c>
      <c r="D265" s="1">
        <v>2</v>
      </c>
      <c r="E265" s="1">
        <v>50388</v>
      </c>
      <c r="F265" s="1">
        <v>1</v>
      </c>
      <c r="G265" s="2" t="e">
        <v>#VALUE!</v>
      </c>
      <c r="H265" s="2" t="e">
        <v>#NUM!</v>
      </c>
      <c r="I265" s="2" t="e">
        <v>#NUM!</v>
      </c>
      <c r="J265" s="2" t="e">
        <v>#NUM!</v>
      </c>
      <c r="K265" s="2">
        <v>99</v>
      </c>
      <c r="L265" s="2">
        <v>253</v>
      </c>
    </row>
    <row r="268" spans="2:15" x14ac:dyDescent="0.15">
      <c r="B268" s="1" t="s">
        <v>1243</v>
      </c>
      <c r="C268" s="1" t="s">
        <v>2</v>
      </c>
      <c r="D268" s="1" t="str">
        <f>_xlfn.CONCAT(B7,B15)</f>
        <v>0-1</v>
      </c>
      <c r="E268" s="1" t="str">
        <f>_xlfn.CONCAT(B16,B18)</f>
        <v>TRUETRUE</v>
      </c>
      <c r="F268" s="1" t="str">
        <f>_xlfn.CONCAT(C9,D14,B14,B17)</f>
        <v>1.1-2FALSE</v>
      </c>
      <c r="G268" s="2" t="str">
        <f>_xlfn.CONCAT(E9,F12)</f>
        <v>sp ace ssp ace s</v>
      </c>
      <c r="H268" s="2" t="str">
        <f>_xlfn.CONCAT(F13,E16)</f>
        <v>2.999991.1</v>
      </c>
      <c r="I268" s="2" t="str">
        <f>_xlfn.CONCAT(_xlfn.SINGLE(G10:J10),_xlfn.SINGLE(F267:F273))</f>
        <v>ric1.1-2FALSE</v>
      </c>
      <c r="J268" s="2" t="e">
        <f>_xlfn.CONCAT(_xlfn.SINGLE(F13:G15),E16)</f>
        <v>#VALUE!</v>
      </c>
      <c r="K268" s="2" t="str">
        <f>_xlfn.CONCAT(K8:L9)</f>
        <v>22.999933.5</v>
      </c>
      <c r="L268" s="2" t="str">
        <f>_xlfn.CONCAT(H7,I8)</f>
        <v>23.5</v>
      </c>
      <c r="M268" s="2" t="str">
        <f>_xlfn.CONCAT(H7:I8)</f>
        <v>232.9993.5</v>
      </c>
      <c r="N268" s="2" t="str">
        <f>_xlfn.CONCAT(T8:U10)</f>
        <v>110110212</v>
      </c>
      <c r="O268" s="2" t="str">
        <f>_xlfn.CONCAT(K8:L9,K10)</f>
        <v>22.999933.54</v>
      </c>
    </row>
    <row r="269" spans="2:15" x14ac:dyDescent="0.15">
      <c r="C269" s="1" t="s">
        <v>0</v>
      </c>
      <c r="D269" s="1" t="s">
        <v>241</v>
      </c>
      <c r="E269" s="1" t="s">
        <v>242</v>
      </c>
      <c r="F269" s="1" t="s">
        <v>243</v>
      </c>
      <c r="G269" s="2" t="s">
        <v>244</v>
      </c>
      <c r="H269" s="2" t="s">
        <v>245</v>
      </c>
      <c r="I269" s="2" t="s">
        <v>246</v>
      </c>
      <c r="J269" s="2" t="e">
        <v>#VALUE!</v>
      </c>
      <c r="K269" s="2" t="s">
        <v>1248</v>
      </c>
      <c r="L269" s="2" t="s">
        <v>1244</v>
      </c>
      <c r="M269" s="2" t="s">
        <v>1245</v>
      </c>
      <c r="N269" s="2" t="s">
        <v>1246</v>
      </c>
      <c r="O269" s="2" t="s">
        <v>1247</v>
      </c>
    </row>
    <row r="272" spans="2:15" x14ac:dyDescent="0.15">
      <c r="B272" s="1" t="s">
        <v>1014</v>
      </c>
      <c r="C272" s="1" t="s">
        <v>1015</v>
      </c>
      <c r="D272" s="1" t="str">
        <f>CONCATENATE(B7,B15)</f>
        <v>0-1</v>
      </c>
      <c r="E272" s="1" t="str">
        <f>CONCATENATE(B16,B18)</f>
        <v>TRUETRUE</v>
      </c>
      <c r="F272" s="1" t="str">
        <f>CONCATENATE(C9,D14,B14,B17)</f>
        <v>1.1-2FALSE</v>
      </c>
      <c r="G272" s="2" t="str">
        <f>CONCATENATE(E9,F12)</f>
        <v>sp ace ssp ace s</v>
      </c>
      <c r="H272" s="2" t="str">
        <f>CONCATENATE(F13,E16)</f>
        <v>2.999991.1</v>
      </c>
      <c r="I272" s="2" t="str">
        <f>CONCATENATE(G10:J10,F267:F273)</f>
        <v>ric1.1-2FALSE</v>
      </c>
      <c r="J272" s="2" t="e">
        <f>CONCATENATE(F13:G15,E16)</f>
        <v>#VALUE!</v>
      </c>
      <c r="K272" s="2" t="e">
        <f>CONCATENATE(K8:L9,K10)</f>
        <v>#VALUE!</v>
      </c>
    </row>
    <row r="273" spans="2:15" x14ac:dyDescent="0.15">
      <c r="C273" s="1" t="s">
        <v>1016</v>
      </c>
      <c r="D273" s="1" t="s">
        <v>241</v>
      </c>
      <c r="E273" s="1" t="s">
        <v>242</v>
      </c>
      <c r="F273" s="1" t="s">
        <v>243</v>
      </c>
      <c r="G273" s="2" t="s">
        <v>244</v>
      </c>
      <c r="H273" s="2" t="s">
        <v>245</v>
      </c>
      <c r="I273" s="2" t="s">
        <v>246</v>
      </c>
      <c r="J273" s="2" t="e">
        <v>#VALUE!</v>
      </c>
      <c r="K273" s="2" t="e">
        <v>#VALUE!</v>
      </c>
    </row>
    <row r="276" spans="2:15" x14ac:dyDescent="0.15">
      <c r="B276" s="1" t="s">
        <v>1017</v>
      </c>
      <c r="C276" s="1" t="s">
        <v>1018</v>
      </c>
    </row>
    <row r="277" spans="2:15" x14ac:dyDescent="0.15">
      <c r="C277" s="1" t="s">
        <v>1019</v>
      </c>
    </row>
    <row r="280" spans="2:15" x14ac:dyDescent="0.15">
      <c r="B280" s="1" t="s">
        <v>1020</v>
      </c>
      <c r="C280" s="1" t="s">
        <v>1021</v>
      </c>
    </row>
    <row r="281" spans="2:15" x14ac:dyDescent="0.15">
      <c r="C281" s="1" t="s">
        <v>1022</v>
      </c>
    </row>
    <row r="284" spans="2:15" x14ac:dyDescent="0.15">
      <c r="B284" s="1" t="s">
        <v>1023</v>
      </c>
      <c r="C284" s="1" t="s">
        <v>1024</v>
      </c>
      <c r="D284" s="1">
        <f>COS(D7)</f>
        <v>1</v>
      </c>
      <c r="E284" s="1" t="e">
        <f>COS(E7)</f>
        <v>#VALUE!</v>
      </c>
      <c r="F284" s="1">
        <f>COS(E15)</f>
        <v>0.54030230586813977</v>
      </c>
      <c r="G284" s="2">
        <f>COS("1")</f>
        <v>0.54030230586813977</v>
      </c>
      <c r="H284" s="2">
        <f>COS(B16)</f>
        <v>0.54030230586813977</v>
      </c>
      <c r="I284" s="2">
        <f>COS(B17)</f>
        <v>1</v>
      </c>
      <c r="J284" s="2" t="e">
        <f>COS(B18)</f>
        <v>#VALUE!</v>
      </c>
      <c r="K284" s="2">
        <f>COS(H12:L12)</f>
        <v>1</v>
      </c>
      <c r="L284" s="2">
        <f>COS(K282:K285)</f>
        <v>0.54030230586813977</v>
      </c>
      <c r="M284" s="2">
        <f>COS(F11)</f>
        <v>1</v>
      </c>
      <c r="N284" s="2" t="e">
        <f>COS(I8:K8)</f>
        <v>#VALUE!</v>
      </c>
      <c r="O284" s="2" t="e">
        <f>COS(K8:K10)</f>
        <v>#VALUE!</v>
      </c>
    </row>
    <row r="285" spans="2:15" x14ac:dyDescent="0.15">
      <c r="C285" s="1" t="s">
        <v>1025</v>
      </c>
      <c r="D285" s="1">
        <v>1</v>
      </c>
      <c r="E285" s="1" t="e">
        <v>#VALUE!</v>
      </c>
      <c r="F285" s="1">
        <v>0.54030230586813977</v>
      </c>
      <c r="G285" s="2">
        <v>0.54030230586813977</v>
      </c>
      <c r="H285" s="2">
        <v>0.54030230586813977</v>
      </c>
      <c r="I285" s="2">
        <v>1</v>
      </c>
      <c r="J285" s="2" t="e">
        <v>#VALUE!</v>
      </c>
      <c r="K285" s="2">
        <v>1</v>
      </c>
      <c r="L285" s="2">
        <v>0.54030230586813977</v>
      </c>
      <c r="M285" s="2">
        <v>1</v>
      </c>
      <c r="N285" s="2" t="e">
        <v>#VALUE!</v>
      </c>
      <c r="O285" s="2" t="e">
        <v>#VALUE!</v>
      </c>
    </row>
    <row r="288" spans="2:15" x14ac:dyDescent="0.15">
      <c r="B288" s="1" t="s">
        <v>1026</v>
      </c>
      <c r="C288" s="1" t="s">
        <v>1027</v>
      </c>
      <c r="D288" s="1">
        <f>COSH(B7)</f>
        <v>1</v>
      </c>
      <c r="E288" s="1">
        <f>COSH(C8)</f>
        <v>1.00000000005</v>
      </c>
      <c r="F288" s="1">
        <f>COSH(B13)</f>
        <v>4.0947118061319582E+231</v>
      </c>
      <c r="G288" s="2">
        <f>COSH(B16)</f>
        <v>1.5430806348152437</v>
      </c>
      <c r="H288" s="2" t="e">
        <f>COSH(B18)</f>
        <v>#VALUE!</v>
      </c>
      <c r="I288" s="2">
        <f>COSH(D8)</f>
        <v>1</v>
      </c>
      <c r="J288" s="2" t="e">
        <f>COSH(E7)</f>
        <v>#VALUE!</v>
      </c>
      <c r="K288" s="2">
        <f>COSH(E15)</f>
        <v>1.5430806348152437</v>
      </c>
      <c r="L288" s="2">
        <f>COSH(I10:L10)</f>
        <v>45.014120148530026</v>
      </c>
      <c r="M288" s="2">
        <f>COSH(K287:K289)</f>
        <v>2.4463520074491623</v>
      </c>
      <c r="N288" s="2" t="e">
        <f>COSH(M8:N9)</f>
        <v>#VALUE!</v>
      </c>
    </row>
    <row r="289" spans="2:14" x14ac:dyDescent="0.15">
      <c r="C289" s="1" t="s">
        <v>1028</v>
      </c>
      <c r="D289" s="1">
        <v>1</v>
      </c>
      <c r="E289" s="1">
        <v>1.00000000005</v>
      </c>
      <c r="F289" s="1">
        <v>4.0947118061319582E+231</v>
      </c>
      <c r="G289" s="2">
        <v>1.5430806348152437</v>
      </c>
      <c r="H289" s="2" t="e">
        <v>#VALUE!</v>
      </c>
      <c r="I289" s="2">
        <v>1</v>
      </c>
      <c r="J289" s="2" t="e">
        <v>#VALUE!</v>
      </c>
      <c r="K289" s="2">
        <v>1.5430806348152437</v>
      </c>
      <c r="L289" s="2">
        <v>45.014120148530026</v>
      </c>
      <c r="M289" s="2">
        <v>2.4463520074491623</v>
      </c>
      <c r="N289" s="2" t="e">
        <v>#VALUE!</v>
      </c>
    </row>
    <row r="292" spans="2:14" x14ac:dyDescent="0.15">
      <c r="B292" s="1" t="s">
        <v>1029</v>
      </c>
      <c r="C292" s="1" t="s">
        <v>1030</v>
      </c>
      <c r="D292" s="1">
        <f>COUNT(B8:E9)</f>
        <v>4</v>
      </c>
      <c r="E292" s="1">
        <f>COUNT(E10:F13)</f>
        <v>2</v>
      </c>
      <c r="F292" s="1">
        <f>COUNT(2, "A",  "",#REF!, #DIV/0!)</f>
        <v>1</v>
      </c>
    </row>
    <row r="293" spans="2:14" x14ac:dyDescent="0.15">
      <c r="C293" s="1" t="s">
        <v>1031</v>
      </c>
      <c r="D293" s="1">
        <v>4</v>
      </c>
      <c r="E293" s="1">
        <v>2</v>
      </c>
      <c r="F293" s="1">
        <v>1</v>
      </c>
    </row>
    <row r="296" spans="2:14" x14ac:dyDescent="0.15">
      <c r="B296" s="1" t="s">
        <v>1032</v>
      </c>
      <c r="C296" s="1" t="s">
        <v>1033</v>
      </c>
      <c r="D296" s="1">
        <f>COUNTA(C9:D11)</f>
        <v>3</v>
      </c>
      <c r="E296" s="1">
        <f>COUNTA(E10:F13)</f>
        <v>8</v>
      </c>
      <c r="F296" s="1">
        <f>COUNTA(2, "A",  "",#REF!, #DIV/0!)</f>
        <v>5</v>
      </c>
    </row>
    <row r="297" spans="2:14" x14ac:dyDescent="0.15">
      <c r="C297" s="1" t="s">
        <v>1034</v>
      </c>
      <c r="D297" s="1">
        <v>3</v>
      </c>
      <c r="E297" s="1">
        <v>8</v>
      </c>
      <c r="F297" s="1">
        <v>5</v>
      </c>
    </row>
    <row r="300" spans="2:14" x14ac:dyDescent="0.15">
      <c r="B300" s="1" t="s">
        <v>1035</v>
      </c>
      <c r="C300" s="1" t="s">
        <v>1036</v>
      </c>
      <c r="D300" s="1">
        <f>COUNTBLANK(B8:E9)</f>
        <v>2</v>
      </c>
      <c r="E300" s="1">
        <f>COUNTBLANK(G10:G18)</f>
        <v>6</v>
      </c>
    </row>
    <row r="301" spans="2:14" x14ac:dyDescent="0.15">
      <c r="C301" s="1" t="s">
        <v>1037</v>
      </c>
      <c r="D301" s="1">
        <v>2</v>
      </c>
      <c r="E301" s="1">
        <v>6</v>
      </c>
    </row>
    <row r="304" spans="2:14" x14ac:dyDescent="0.15">
      <c r="B304" s="1" t="s">
        <v>1038</v>
      </c>
      <c r="C304" s="1" t="s">
        <v>1039</v>
      </c>
      <c r="D304" s="1">
        <f>COUNTIF(J7:K10, 4)</f>
        <v>2</v>
      </c>
      <c r="E304" s="1">
        <f>COUNTIF(AA7:AA13, 1/0)</f>
        <v>1</v>
      </c>
      <c r="F304" s="1">
        <f>COUNTIF(G7:K7,E8:G8)</f>
        <v>2</v>
      </c>
    </row>
    <row r="305" spans="2:6" x14ac:dyDescent="0.15">
      <c r="C305" s="1" t="s">
        <v>1040</v>
      </c>
      <c r="D305" s="1">
        <v>2</v>
      </c>
      <c r="E305" s="1">
        <v>1</v>
      </c>
      <c r="F305" s="1">
        <v>2</v>
      </c>
    </row>
    <row r="308" spans="2:6" x14ac:dyDescent="0.15">
      <c r="B308" s="1" t="s">
        <v>1041</v>
      </c>
      <c r="C308" s="1" t="s">
        <v>1042</v>
      </c>
    </row>
    <row r="309" spans="2:6" x14ac:dyDescent="0.15">
      <c r="C309" s="1" t="s">
        <v>1043</v>
      </c>
    </row>
    <row r="312" spans="2:6" x14ac:dyDescent="0.15">
      <c r="B312" s="1" t="s">
        <v>1044</v>
      </c>
      <c r="C312" s="1" t="s">
        <v>1045</v>
      </c>
      <c r="D312" s="1" t="s">
        <v>247</v>
      </c>
    </row>
    <row r="313" spans="2:6" x14ac:dyDescent="0.15">
      <c r="C313" s="1" t="s">
        <v>1046</v>
      </c>
      <c r="D313" s="1" t="s">
        <v>247</v>
      </c>
    </row>
    <row r="316" spans="2:6" x14ac:dyDescent="0.15">
      <c r="B316" s="1" t="s">
        <v>1047</v>
      </c>
      <c r="C316" s="1" t="s">
        <v>1048</v>
      </c>
    </row>
    <row r="317" spans="2:6" x14ac:dyDescent="0.15">
      <c r="C317" s="1" t="s">
        <v>1049</v>
      </c>
    </row>
    <row r="320" spans="2:6" x14ac:dyDescent="0.15">
      <c r="B320" s="1" t="s">
        <v>766</v>
      </c>
      <c r="C320" s="1" t="s">
        <v>767</v>
      </c>
    </row>
    <row r="321" spans="2:13" x14ac:dyDescent="0.15">
      <c r="C321" s="1" t="s">
        <v>768</v>
      </c>
    </row>
    <row r="324" spans="2:13" x14ac:dyDescent="0.15">
      <c r="B324" s="1" t="s">
        <v>769</v>
      </c>
      <c r="C324" s="1" t="s">
        <v>770</v>
      </c>
      <c r="D324" s="1" t="s">
        <v>247</v>
      </c>
    </row>
    <row r="325" spans="2:13" x14ac:dyDescent="0.15">
      <c r="C325" s="1" t="s">
        <v>771</v>
      </c>
      <c r="D325" s="1" t="s">
        <v>247</v>
      </c>
    </row>
    <row r="328" spans="2:13" x14ac:dyDescent="0.15">
      <c r="B328" s="1" t="s">
        <v>772</v>
      </c>
      <c r="C328" s="1" t="s">
        <v>773</v>
      </c>
      <c r="D328" s="39">
        <f>DATE(1900, 1, 1)</f>
        <v>1</v>
      </c>
      <c r="E328" s="39">
        <f>DATE(1900, 1, 32)</f>
        <v>32</v>
      </c>
      <c r="F328" s="39">
        <f>DATE(1900, 222, 1)</f>
        <v>6727</v>
      </c>
      <c r="G328" s="45">
        <f>DATE(2007, 1, 1)</f>
        <v>39083</v>
      </c>
      <c r="H328" s="45">
        <f>DATE(1900, 2, 29)</f>
        <v>60</v>
      </c>
      <c r="I328" s="45">
        <f>DATE(1900, 1, 22222)</f>
        <v>22222</v>
      </c>
      <c r="J328" s="45">
        <f>DATE(B8,B9,C10)</f>
        <v>398</v>
      </c>
      <c r="K328" s="45">
        <f>DATE(C8,C9,C10)</f>
        <v>1</v>
      </c>
      <c r="L328" s="45" t="e">
        <f>DATE(E8,E9,E10)</f>
        <v>#VALUE!</v>
      </c>
      <c r="M328" s="45"/>
    </row>
    <row r="329" spans="2:13" x14ac:dyDescent="0.15">
      <c r="C329" s="1" t="s">
        <v>774</v>
      </c>
      <c r="D329" s="39">
        <v>1</v>
      </c>
      <c r="E329" s="39">
        <v>32</v>
      </c>
      <c r="F329" s="39">
        <v>6727</v>
      </c>
      <c r="G329" s="45">
        <v>39083</v>
      </c>
      <c r="H329" s="45">
        <v>60</v>
      </c>
      <c r="I329" s="45">
        <v>22222</v>
      </c>
      <c r="J329" s="45">
        <v>398</v>
      </c>
      <c r="K329" s="45">
        <v>1</v>
      </c>
      <c r="L329" s="45" t="e">
        <v>#VALUE!</v>
      </c>
      <c r="M329" s="45"/>
    </row>
    <row r="332" spans="2:13" x14ac:dyDescent="0.15">
      <c r="B332" s="1" t="s">
        <v>775</v>
      </c>
      <c r="C332" s="1" t="s">
        <v>776</v>
      </c>
    </row>
    <row r="333" spans="2:13" x14ac:dyDescent="0.15">
      <c r="C333" s="1" t="s">
        <v>777</v>
      </c>
    </row>
    <row r="336" spans="2:13" x14ac:dyDescent="0.15">
      <c r="B336" s="1" t="s">
        <v>778</v>
      </c>
      <c r="C336" s="1" t="s">
        <v>779</v>
      </c>
    </row>
    <row r="337" spans="2:8" x14ac:dyDescent="0.15">
      <c r="C337" s="1" t="s">
        <v>780</v>
      </c>
    </row>
    <row r="340" spans="2:8" x14ac:dyDescent="0.15">
      <c r="B340" s="1" t="s">
        <v>781</v>
      </c>
      <c r="C340" s="1" t="s">
        <v>782</v>
      </c>
    </row>
    <row r="341" spans="2:8" x14ac:dyDescent="0.15">
      <c r="C341" s="1" t="s">
        <v>783</v>
      </c>
    </row>
    <row r="344" spans="2:8" x14ac:dyDescent="0.15">
      <c r="B344" s="1" t="s">
        <v>784</v>
      </c>
      <c r="C344" s="1" t="s">
        <v>785</v>
      </c>
    </row>
    <row r="345" spans="2:8" x14ac:dyDescent="0.15">
      <c r="C345" s="1" t="s">
        <v>786</v>
      </c>
    </row>
    <row r="348" spans="2:8" x14ac:dyDescent="0.15">
      <c r="B348" s="1" t="s">
        <v>787</v>
      </c>
      <c r="C348" s="1" t="s">
        <v>788</v>
      </c>
      <c r="D348" s="1">
        <f>DAY(C20)</f>
        <v>25</v>
      </c>
      <c r="E348" s="1">
        <f>DAY(1)</f>
        <v>1</v>
      </c>
      <c r="F348" s="39">
        <f>DAY(0)</f>
        <v>0</v>
      </c>
      <c r="G348" s="1" t="e">
        <f>DAY(C16)</f>
        <v>#NUM!</v>
      </c>
      <c r="H348" s="2" t="e">
        <f>DAY(#DIV/0!)</f>
        <v>#DIV/0!</v>
      </c>
    </row>
    <row r="349" spans="2:8" x14ac:dyDescent="0.15">
      <c r="C349" s="1" t="s">
        <v>789</v>
      </c>
      <c r="D349" s="1">
        <v>25</v>
      </c>
      <c r="E349" s="1">
        <v>1</v>
      </c>
      <c r="F349" s="1">
        <v>0</v>
      </c>
      <c r="G349" s="1" t="e">
        <v>#NUM!</v>
      </c>
      <c r="H349" s="2" t="e">
        <v>#DIV/0!</v>
      </c>
    </row>
    <row r="352" spans="2:8" x14ac:dyDescent="0.15">
      <c r="B352" s="1" t="s">
        <v>790</v>
      </c>
      <c r="C352" s="1" t="s">
        <v>791</v>
      </c>
      <c r="D352" s="1">
        <f>DAYS360(B10,C10)</f>
        <v>-526</v>
      </c>
      <c r="E352" s="1">
        <f>DAYS360(DATE(1972,2,16), DATE(2012,2,16))</f>
        <v>14400</v>
      </c>
      <c r="F352" s="1">
        <f>DAYS360(DATE(2008,1,16), DATE(2008,5,16))</f>
        <v>120</v>
      </c>
      <c r="G352" s="1"/>
    </row>
    <row r="353" spans="2:6" x14ac:dyDescent="0.15">
      <c r="C353" s="1" t="s">
        <v>1078</v>
      </c>
      <c r="D353" s="1">
        <v>-526</v>
      </c>
      <c r="E353" s="1">
        <v>14400</v>
      </c>
      <c r="F353" s="1">
        <v>120</v>
      </c>
    </row>
    <row r="356" spans="2:6" x14ac:dyDescent="0.15">
      <c r="B356" s="1" t="s">
        <v>1079</v>
      </c>
      <c r="C356" s="1" t="s">
        <v>1080</v>
      </c>
      <c r="D356" s="1" t="s">
        <v>247</v>
      </c>
    </row>
    <row r="357" spans="2:6" x14ac:dyDescent="0.15">
      <c r="C357" s="1" t="s">
        <v>1081</v>
      </c>
      <c r="D357" s="1" t="s">
        <v>247</v>
      </c>
    </row>
    <row r="360" spans="2:6" x14ac:dyDescent="0.15">
      <c r="B360" s="1" t="s">
        <v>1082</v>
      </c>
      <c r="C360" s="1" t="s">
        <v>1083</v>
      </c>
      <c r="D360" s="1" t="s">
        <v>247</v>
      </c>
    </row>
    <row r="361" spans="2:6" x14ac:dyDescent="0.15">
      <c r="C361" s="1" t="s">
        <v>1084</v>
      </c>
      <c r="D361" s="1" t="s">
        <v>247</v>
      </c>
    </row>
    <row r="364" spans="2:6" x14ac:dyDescent="0.15">
      <c r="B364" s="1" t="s">
        <v>1085</v>
      </c>
      <c r="C364" s="1" t="s">
        <v>1086</v>
      </c>
    </row>
    <row r="365" spans="2:6" x14ac:dyDescent="0.15">
      <c r="C365" s="1" t="s">
        <v>1087</v>
      </c>
    </row>
    <row r="368" spans="2:6" x14ac:dyDescent="0.15">
      <c r="B368" s="1" t="s">
        <v>1088</v>
      </c>
      <c r="C368" s="1" t="s">
        <v>1089</v>
      </c>
    </row>
    <row r="369" spans="2:17" x14ac:dyDescent="0.15">
      <c r="C369" s="1" t="s">
        <v>1090</v>
      </c>
    </row>
    <row r="372" spans="2:17" x14ac:dyDescent="0.15">
      <c r="B372" s="1" t="s">
        <v>1091</v>
      </c>
      <c r="C372" s="1" t="s">
        <v>1092</v>
      </c>
    </row>
    <row r="373" spans="2:17" x14ac:dyDescent="0.15">
      <c r="C373" s="1" t="s">
        <v>1093</v>
      </c>
    </row>
    <row r="376" spans="2:17" x14ac:dyDescent="0.15">
      <c r="B376" s="1" t="s">
        <v>1227</v>
      </c>
      <c r="C376" s="1" t="s">
        <v>2</v>
      </c>
      <c r="D376" s="62" t="str">
        <f>_xludf.DEC2BIN(9, 4)</f>
        <v>1001</v>
      </c>
      <c r="E376" s="60" t="str">
        <f>_xludf.DEC2BIN(-100)</f>
        <v>1110011100</v>
      </c>
      <c r="F376" s="60" t="e">
        <f>_xludf.DEC2BIN(-513)</f>
        <v>#NUM!</v>
      </c>
      <c r="G376" s="60" t="str">
        <f>_xludf.DEC2BIN(-512)</f>
        <v>1000000000</v>
      </c>
      <c r="H376" s="60" t="e">
        <f>_xludf.DEC2BIN(513)</f>
        <v>#NUM!</v>
      </c>
      <c r="I376" s="60" t="str">
        <f>_xludf.DEC2BIN(511)</f>
        <v>111111111</v>
      </c>
      <c r="J376" s="60" t="e">
        <f>_xludf.DEC2BIN("ABCDEF")</f>
        <v>#VALUE!</v>
      </c>
      <c r="K376" s="60" t="str">
        <f>_xludf.DEC2BIN(511,9.5)</f>
        <v>111111111</v>
      </c>
      <c r="L376" s="60" t="e">
        <f>_xludf.DEC2BIN(511,"ABCDEF")</f>
        <v>#VALUE!</v>
      </c>
      <c r="M376" s="60" t="e">
        <f>_xludf.DEC2BIN(511,0)</f>
        <v>#NUM!</v>
      </c>
      <c r="N376" s="60" t="e">
        <f>_xludf.DEC2BIN(511,-1)</f>
        <v>#NUM!</v>
      </c>
      <c r="O376" s="60" t="e">
        <f>_xludf.DEC2BIN(511,5)</f>
        <v>#NUM!</v>
      </c>
    </row>
    <row r="377" spans="2:17" x14ac:dyDescent="0.15">
      <c r="C377" s="1" t="s">
        <v>0</v>
      </c>
      <c r="D377" s="63" t="s">
        <v>1231</v>
      </c>
      <c r="E377" s="18" t="s">
        <v>1228</v>
      </c>
      <c r="F377" s="60" t="e">
        <v>#NUM!</v>
      </c>
      <c r="G377" s="18" t="s">
        <v>1229</v>
      </c>
      <c r="H377" s="60" t="e">
        <v>#NUM!</v>
      </c>
      <c r="I377" s="62" t="s">
        <v>1230</v>
      </c>
      <c r="J377" s="60" t="e">
        <v>#VALUE!</v>
      </c>
      <c r="K377" s="62" t="s">
        <v>1230</v>
      </c>
      <c r="L377" s="2" t="e">
        <v>#VALUE!</v>
      </c>
      <c r="M377" s="60" t="e">
        <v>#NUM!</v>
      </c>
      <c r="N377" s="60" t="e">
        <v>#NUM!</v>
      </c>
      <c r="O377" s="60" t="e">
        <v>#NUM!</v>
      </c>
    </row>
    <row r="378" spans="2:17" x14ac:dyDescent="0.15">
      <c r="D378" s="63"/>
      <c r="E378" s="18"/>
      <c r="F378" s="60"/>
      <c r="G378" s="18"/>
      <c r="H378" s="60"/>
      <c r="I378" s="62"/>
      <c r="J378" s="60"/>
      <c r="K378" s="62"/>
      <c r="M378" s="60"/>
      <c r="N378" s="60"/>
      <c r="O378" s="60"/>
    </row>
    <row r="379" spans="2:17" x14ac:dyDescent="0.15">
      <c r="D379" s="63"/>
      <c r="E379" s="18"/>
      <c r="F379" s="60"/>
      <c r="G379" s="18"/>
      <c r="H379" s="60"/>
      <c r="I379" s="62"/>
      <c r="J379" s="60"/>
      <c r="K379" s="62"/>
      <c r="M379" s="60"/>
      <c r="N379" s="60"/>
      <c r="O379" s="60"/>
    </row>
    <row r="380" spans="2:17" x14ac:dyDescent="0.15">
      <c r="B380" s="1" t="s">
        <v>1233</v>
      </c>
      <c r="C380" s="1" t="s">
        <v>2</v>
      </c>
      <c r="D380" s="58" t="str">
        <f>_xludf.DEC2HEX(100,2)</f>
        <v>64</v>
      </c>
      <c r="E380" s="58" t="str">
        <f>_xludf.DEC2HEX(100,4)</f>
        <v>0064</v>
      </c>
      <c r="F380" s="58" t="str">
        <f>_xludf.DEC2HEX(100,5)</f>
        <v>00064</v>
      </c>
      <c r="G380" s="58" t="str">
        <f>_xludf.DEC2HEX(100,10)</f>
        <v>0000000064</v>
      </c>
      <c r="H380" s="58" t="str">
        <f>_xludf.DEC2HEX(-54)</f>
        <v>FFFFFFFFCA</v>
      </c>
      <c r="I380" s="58" t="str">
        <f>_xludf.DEC2HEX(-54, 2)</f>
        <v>FFFFFFFFCA</v>
      </c>
      <c r="J380" s="58" t="str">
        <f>_xludf.DEC2HEX(55678,10)</f>
        <v>000000D97E</v>
      </c>
      <c r="K380" s="58" t="str">
        <f>_xludf.DEC2HEX(55678,4)</f>
        <v>D97E</v>
      </c>
      <c r="L380" s="58" t="str">
        <f>_xludf.DEC2HEX(55678)</f>
        <v>D97E</v>
      </c>
      <c r="M380" s="58" t="e">
        <f>_xludf.DEC2HEX(-549755813889)</f>
        <v>#NUM!</v>
      </c>
      <c r="N380" s="58" t="e">
        <f>_xludf.DEC2HEX(549755813888)</f>
        <v>#NUM!</v>
      </c>
      <c r="O380" s="58" t="e">
        <f>_xludf.DEC2HEX(549755813888, -10)</f>
        <v>#NUM!</v>
      </c>
      <c r="P380" s="58" t="e">
        <f>_xludf.DEC2HEX("ABCDEF")</f>
        <v>#VALUE!</v>
      </c>
    </row>
    <row r="381" spans="2:17" x14ac:dyDescent="0.15">
      <c r="C381" s="1" t="s">
        <v>0</v>
      </c>
      <c r="D381" s="63" t="s">
        <v>1240</v>
      </c>
      <c r="E381" s="63" t="s">
        <v>1234</v>
      </c>
      <c r="F381" s="63" t="s">
        <v>1235</v>
      </c>
      <c r="G381" s="60" t="s">
        <v>1236</v>
      </c>
      <c r="H381" s="62" t="s">
        <v>1237</v>
      </c>
      <c r="I381" s="62" t="s">
        <v>1237</v>
      </c>
      <c r="J381" s="58" t="s">
        <v>1238</v>
      </c>
      <c r="K381" s="58" t="s">
        <v>1239</v>
      </c>
      <c r="L381" s="58" t="s">
        <v>1239</v>
      </c>
      <c r="M381" s="1" t="e">
        <v>#NUM!</v>
      </c>
      <c r="N381" s="1" t="e">
        <v>#NUM!</v>
      </c>
      <c r="O381" s="1" t="e">
        <v>#NUM!</v>
      </c>
      <c r="P381" s="45" t="e">
        <v>#VALUE!</v>
      </c>
      <c r="Q381" s="64"/>
    </row>
    <row r="384" spans="2:17" x14ac:dyDescent="0.15">
      <c r="B384" s="1" t="s">
        <v>1094</v>
      </c>
      <c r="C384" s="1" t="s">
        <v>1095</v>
      </c>
      <c r="D384" s="1">
        <f>DEGREES(B7)</f>
        <v>0</v>
      </c>
      <c r="E384" s="1">
        <f>DEGREES(B8)</f>
        <v>57.295779513082323</v>
      </c>
      <c r="F384" s="1">
        <f>DEGREES(B13)</f>
        <v>-30595.946259985962</v>
      </c>
      <c r="G384" s="2">
        <f>DEGREES(B16)</f>
        <v>57.295779513082323</v>
      </c>
      <c r="H384" s="2">
        <f>DEGREES(D7)</f>
        <v>0</v>
      </c>
      <c r="I384" s="2" t="e">
        <f>DEGREES(E7)</f>
        <v>#VALUE!</v>
      </c>
      <c r="J384" s="2">
        <f>DEGREES("1")</f>
        <v>57.295779513082323</v>
      </c>
      <c r="K384" s="2">
        <f>DEGREES(E15)</f>
        <v>57.295779513082323</v>
      </c>
      <c r="L384" s="2">
        <f>DEGREES(F11)</f>
        <v>0</v>
      </c>
      <c r="M384" s="2">
        <f>DEGREES(K8:N8)</f>
        <v>171.88733853924697</v>
      </c>
      <c r="N384" s="2">
        <f>DEGREES(L374:L385)</f>
        <v>0</v>
      </c>
      <c r="O384" s="2" t="e">
        <f>DEGREES(N8:O9)</f>
        <v>#VALUE!</v>
      </c>
    </row>
    <row r="385" spans="2:15" x14ac:dyDescent="0.15">
      <c r="C385" s="1" t="s">
        <v>1096</v>
      </c>
      <c r="D385" s="1">
        <v>0</v>
      </c>
      <c r="E385" s="1">
        <v>57.295779513082323</v>
      </c>
      <c r="F385" s="1">
        <v>-30595.946259985962</v>
      </c>
      <c r="G385" s="2">
        <v>57.295779513082323</v>
      </c>
      <c r="H385" s="2">
        <v>0</v>
      </c>
      <c r="I385" s="2" t="e">
        <v>#VALUE!</v>
      </c>
      <c r="J385" s="2">
        <v>57.295779513082323</v>
      </c>
      <c r="K385" s="2">
        <v>57.295779513082323</v>
      </c>
      <c r="L385" s="2">
        <v>0</v>
      </c>
      <c r="M385" s="2">
        <v>171.88733853924697</v>
      </c>
      <c r="N385" s="2">
        <v>0</v>
      </c>
      <c r="O385" s="2" t="e">
        <v>#VALUE!</v>
      </c>
    </row>
    <row r="388" spans="2:15" x14ac:dyDescent="0.15">
      <c r="B388" s="1" t="s">
        <v>1097</v>
      </c>
      <c r="C388" s="1" t="s">
        <v>1098</v>
      </c>
      <c r="D388" s="1" t="s">
        <v>247</v>
      </c>
    </row>
    <row r="389" spans="2:15" x14ac:dyDescent="0.15">
      <c r="C389" s="1" t="s">
        <v>1099</v>
      </c>
      <c r="D389" s="1" t="s">
        <v>247</v>
      </c>
    </row>
    <row r="392" spans="2:15" x14ac:dyDescent="0.15">
      <c r="B392" s="1" t="s">
        <v>1100</v>
      </c>
      <c r="C392" s="1" t="s">
        <v>1101</v>
      </c>
      <c r="D392" s="1" t="s">
        <v>247</v>
      </c>
    </row>
    <row r="393" spans="2:15" x14ac:dyDescent="0.15">
      <c r="C393" s="1" t="s">
        <v>1102</v>
      </c>
      <c r="D393" s="1" t="s">
        <v>247</v>
      </c>
    </row>
    <row r="396" spans="2:15" x14ac:dyDescent="0.15">
      <c r="B396" s="1" t="s">
        <v>1103</v>
      </c>
      <c r="C396" s="1" t="s">
        <v>1104</v>
      </c>
      <c r="D396" s="1" t="s">
        <v>247</v>
      </c>
    </row>
    <row r="397" spans="2:15" x14ac:dyDescent="0.15">
      <c r="C397" s="1" t="s">
        <v>819</v>
      </c>
      <c r="D397" s="1" t="s">
        <v>247</v>
      </c>
    </row>
    <row r="400" spans="2:15" x14ac:dyDescent="0.15">
      <c r="B400" s="1" t="s">
        <v>820</v>
      </c>
      <c r="C400" s="1" t="s">
        <v>821</v>
      </c>
      <c r="D400" s="1" t="s">
        <v>247</v>
      </c>
    </row>
    <row r="401" spans="2:10" x14ac:dyDescent="0.15">
      <c r="C401" s="1" t="s">
        <v>822</v>
      </c>
      <c r="D401" s="1" t="s">
        <v>247</v>
      </c>
    </row>
    <row r="404" spans="2:10" x14ac:dyDescent="0.15">
      <c r="B404" s="1" t="s">
        <v>823</v>
      </c>
      <c r="C404" s="1" t="s">
        <v>824</v>
      </c>
    </row>
    <row r="405" spans="2:10" x14ac:dyDescent="0.15">
      <c r="C405" s="1" t="s">
        <v>825</v>
      </c>
    </row>
    <row r="408" spans="2:10" x14ac:dyDescent="0.15">
      <c r="B408" s="1" t="s">
        <v>826</v>
      </c>
      <c r="C408" s="1" t="s">
        <v>827</v>
      </c>
      <c r="D408" s="1">
        <f>DEVSQ(B7:B9)</f>
        <v>2</v>
      </c>
      <c r="E408" s="1">
        <f>DEVSQ(B7:B9,C7:C9,B15:B17)</f>
        <v>5.8371340000857153</v>
      </c>
      <c r="F408" s="1">
        <f>DEVSQ(B13:D14)</f>
        <v>749730712528.75537</v>
      </c>
      <c r="G408" s="2">
        <f>DEVSQ(D7:D9,C9)</f>
        <v>0</v>
      </c>
      <c r="H408" s="2" t="e">
        <f>DEVSQ(E15:E17)</f>
        <v>#NUM!</v>
      </c>
      <c r="I408" s="2">
        <f>DEVSQ("1","2",2)</f>
        <v>0.66666666666666663</v>
      </c>
      <c r="J408" s="2">
        <f>DEVSQ(F10,I7)</f>
        <v>4.4999700000499994</v>
      </c>
    </row>
    <row r="409" spans="2:10" x14ac:dyDescent="0.15">
      <c r="C409" s="1" t="s">
        <v>828</v>
      </c>
      <c r="D409" s="1">
        <v>2</v>
      </c>
      <c r="E409" s="1">
        <v>5.8371340000857153</v>
      </c>
      <c r="F409" s="1">
        <v>749730712528.75537</v>
      </c>
      <c r="G409" s="2">
        <v>0</v>
      </c>
      <c r="H409" s="2" t="e">
        <v>#NUM!</v>
      </c>
      <c r="I409" s="2">
        <v>0.66666666666666663</v>
      </c>
      <c r="J409" s="2">
        <v>4.4999700000499994</v>
      </c>
    </row>
    <row r="412" spans="2:10" x14ac:dyDescent="0.15">
      <c r="B412" s="1" t="s">
        <v>829</v>
      </c>
      <c r="C412" s="1" t="s">
        <v>830</v>
      </c>
      <c r="D412" s="1" t="s">
        <v>247</v>
      </c>
    </row>
    <row r="413" spans="2:10" x14ac:dyDescent="0.15">
      <c r="C413" s="1" t="s">
        <v>831</v>
      </c>
      <c r="D413" s="1" t="s">
        <v>247</v>
      </c>
    </row>
    <row r="416" spans="2:10" x14ac:dyDescent="0.15">
      <c r="B416" s="1" t="s">
        <v>832</v>
      </c>
      <c r="C416" s="1" t="s">
        <v>833</v>
      </c>
      <c r="D416" s="1" t="s">
        <v>247</v>
      </c>
    </row>
    <row r="417" spans="2:4" x14ac:dyDescent="0.15">
      <c r="C417" s="1" t="s">
        <v>834</v>
      </c>
      <c r="D417" s="1" t="s">
        <v>247</v>
      </c>
    </row>
    <row r="420" spans="2:4" x14ac:dyDescent="0.15">
      <c r="B420" s="1" t="s">
        <v>835</v>
      </c>
      <c r="C420" s="1" t="s">
        <v>836</v>
      </c>
    </row>
    <row r="421" spans="2:4" x14ac:dyDescent="0.15">
      <c r="C421" s="1" t="s">
        <v>837</v>
      </c>
    </row>
    <row r="424" spans="2:4" x14ac:dyDescent="0.15">
      <c r="B424" s="1" t="s">
        <v>838</v>
      </c>
      <c r="C424" s="1" t="s">
        <v>839</v>
      </c>
    </row>
    <row r="425" spans="2:4" x14ac:dyDescent="0.15">
      <c r="C425" s="1" t="s">
        <v>840</v>
      </c>
    </row>
    <row r="428" spans="2:4" x14ac:dyDescent="0.15">
      <c r="B428" s="1" t="s">
        <v>841</v>
      </c>
      <c r="C428" s="1" t="s">
        <v>842</v>
      </c>
    </row>
    <row r="429" spans="2:4" x14ac:dyDescent="0.15">
      <c r="C429" s="1" t="s">
        <v>843</v>
      </c>
    </row>
    <row r="432" spans="2:4" x14ac:dyDescent="0.15">
      <c r="B432" s="1" t="s">
        <v>844</v>
      </c>
      <c r="C432" s="1" t="s">
        <v>845</v>
      </c>
      <c r="D432" s="1" t="s">
        <v>247</v>
      </c>
    </row>
    <row r="433" spans="2:14" x14ac:dyDescent="0.15">
      <c r="C433" s="1" t="s">
        <v>846</v>
      </c>
      <c r="D433" s="1" t="s">
        <v>247</v>
      </c>
    </row>
    <row r="436" spans="2:14" x14ac:dyDescent="0.15">
      <c r="B436" s="1" t="s">
        <v>847</v>
      </c>
      <c r="C436" s="1" t="s">
        <v>848</v>
      </c>
      <c r="D436" s="1" t="str">
        <f>DOLLAR(B7)</f>
        <v>£0.00</v>
      </c>
      <c r="E436" s="1" t="str">
        <f>DOLLAR(B8)</f>
        <v>£1.00</v>
      </c>
      <c r="F436" s="1" t="str">
        <f>DOLLAR(B16)</f>
        <v>£1.00</v>
      </c>
      <c r="G436" s="2" t="str">
        <f>DOLLAR(D7)</f>
        <v>£0.00</v>
      </c>
      <c r="H436" s="2" t="str">
        <f>DOLLAR(C15)</f>
        <v>-£1.00</v>
      </c>
      <c r="I436" s="2" t="e">
        <f>DOLLAR(E7)</f>
        <v>#VALUE!</v>
      </c>
      <c r="J436" s="2" t="str">
        <f>DOLLAR(E15)</f>
        <v>£1.00</v>
      </c>
      <c r="K436" s="2" t="str">
        <f>DOLLAR(I9:L9)</f>
        <v>£3.00</v>
      </c>
      <c r="L436" s="2" t="str">
        <f>DOLLAR(J434:J437)</f>
        <v>£1.00</v>
      </c>
      <c r="M436" s="2" t="e">
        <f>DOLLAR(K9:L10)</f>
        <v>#VALUE!</v>
      </c>
      <c r="N436" s="2" t="e">
        <f>DOLLAR(G10)</f>
        <v>#VALUE!</v>
      </c>
    </row>
    <row r="437" spans="2:14" x14ac:dyDescent="0.15">
      <c r="C437" s="1" t="s">
        <v>849</v>
      </c>
      <c r="D437" s="1">
        <v>0</v>
      </c>
      <c r="E437" s="1">
        <v>1</v>
      </c>
      <c r="F437" s="1">
        <v>1</v>
      </c>
      <c r="G437" s="2">
        <v>0</v>
      </c>
      <c r="H437" s="2">
        <v>-1.0000100000000001</v>
      </c>
      <c r="I437" s="2" t="e">
        <v>#VALUE!</v>
      </c>
      <c r="J437" s="2">
        <v>1</v>
      </c>
      <c r="K437" s="2">
        <v>3</v>
      </c>
      <c r="L437" s="2">
        <v>1</v>
      </c>
      <c r="M437" s="2" t="e">
        <v>#VALUE!</v>
      </c>
      <c r="N437" s="2" t="e">
        <v>#VALUE!</v>
      </c>
    </row>
    <row r="440" spans="2:14" x14ac:dyDescent="0.15">
      <c r="B440" s="1" t="s">
        <v>850</v>
      </c>
      <c r="C440" s="1" t="s">
        <v>851</v>
      </c>
    </row>
    <row r="441" spans="2:14" x14ac:dyDescent="0.15">
      <c r="C441" s="1" t="s">
        <v>852</v>
      </c>
    </row>
    <row r="444" spans="2:14" x14ac:dyDescent="0.15">
      <c r="B444" s="1" t="s">
        <v>853</v>
      </c>
      <c r="C444" s="1" t="s">
        <v>854</v>
      </c>
    </row>
    <row r="445" spans="2:14" x14ac:dyDescent="0.15">
      <c r="C445" s="1" t="s">
        <v>855</v>
      </c>
    </row>
    <row r="448" spans="2:14" x14ac:dyDescent="0.15">
      <c r="B448" s="1" t="s">
        <v>856</v>
      </c>
      <c r="C448" s="1" t="s">
        <v>857</v>
      </c>
    </row>
    <row r="449" spans="2:3" x14ac:dyDescent="0.15">
      <c r="C449" s="1" t="s">
        <v>858</v>
      </c>
    </row>
    <row r="452" spans="2:3" x14ac:dyDescent="0.15">
      <c r="B452" s="1" t="s">
        <v>859</v>
      </c>
      <c r="C452" s="1" t="s">
        <v>860</v>
      </c>
    </row>
    <row r="453" spans="2:3" x14ac:dyDescent="0.15">
      <c r="C453" s="1" t="s">
        <v>861</v>
      </c>
    </row>
    <row r="456" spans="2:3" x14ac:dyDescent="0.15">
      <c r="B456" s="1" t="s">
        <v>862</v>
      </c>
      <c r="C456" s="1" t="s">
        <v>863</v>
      </c>
    </row>
    <row r="457" spans="2:3" x14ac:dyDescent="0.15">
      <c r="C457" s="1" t="s">
        <v>864</v>
      </c>
    </row>
    <row r="460" spans="2:3" x14ac:dyDescent="0.15">
      <c r="B460" s="1" t="s">
        <v>865</v>
      </c>
      <c r="C460" s="1" t="s">
        <v>866</v>
      </c>
    </row>
    <row r="461" spans="2:3" x14ac:dyDescent="0.15">
      <c r="C461" s="1" t="s">
        <v>867</v>
      </c>
    </row>
    <row r="464" spans="2:3" x14ac:dyDescent="0.15">
      <c r="B464" s="1" t="s">
        <v>868</v>
      </c>
      <c r="C464" s="1" t="s">
        <v>869</v>
      </c>
    </row>
    <row r="465" spans="2:11" x14ac:dyDescent="0.15">
      <c r="C465" s="1" t="s">
        <v>870</v>
      </c>
    </row>
    <row r="468" spans="2:11" x14ac:dyDescent="0.15">
      <c r="B468" s="1" t="s">
        <v>871</v>
      </c>
      <c r="C468" s="1" t="s">
        <v>872</v>
      </c>
      <c r="D468" s="1" t="s">
        <v>247</v>
      </c>
    </row>
    <row r="469" spans="2:11" x14ac:dyDescent="0.15">
      <c r="C469" s="1" t="s">
        <v>873</v>
      </c>
      <c r="D469" s="1" t="s">
        <v>247</v>
      </c>
    </row>
    <row r="472" spans="2:11" x14ac:dyDescent="0.15">
      <c r="B472" s="1" t="s">
        <v>874</v>
      </c>
      <c r="C472" s="1" t="s">
        <v>875</v>
      </c>
      <c r="D472" s="1" t="s">
        <v>247</v>
      </c>
    </row>
    <row r="473" spans="2:11" x14ac:dyDescent="0.15">
      <c r="C473" s="1" t="s">
        <v>876</v>
      </c>
      <c r="D473" s="1" t="s">
        <v>247</v>
      </c>
    </row>
    <row r="476" spans="2:11" x14ac:dyDescent="0.15">
      <c r="B476" s="1" t="s">
        <v>1199</v>
      </c>
      <c r="C476" s="1" t="s">
        <v>877</v>
      </c>
      <c r="D476" s="1">
        <f>ERROR.TYPE(AA7)</f>
        <v>1</v>
      </c>
      <c r="E476" s="1">
        <f>ERROR.TYPE(AA8)</f>
        <v>2</v>
      </c>
      <c r="F476" s="1">
        <f>ERROR.TYPE(AA9)</f>
        <v>3</v>
      </c>
      <c r="G476" s="2">
        <f>ERROR.TYPE(AA10)</f>
        <v>4</v>
      </c>
      <c r="H476" s="2">
        <f>ERROR.TYPE(AA11)</f>
        <v>5</v>
      </c>
      <c r="I476" s="2">
        <f>ERROR.TYPE(AA12)</f>
        <v>6</v>
      </c>
      <c r="J476" s="2">
        <f>ERROR.TYPE(AA13)</f>
        <v>7</v>
      </c>
      <c r="K476" s="2" t="e">
        <f>ERROR.TYPE(A14)</f>
        <v>#N/A</v>
      </c>
    </row>
    <row r="477" spans="2:11" x14ac:dyDescent="0.15">
      <c r="C477" s="1" t="s">
        <v>878</v>
      </c>
      <c r="D477" s="1">
        <v>1</v>
      </c>
      <c r="E477" s="1">
        <v>2</v>
      </c>
      <c r="F477" s="1">
        <v>3</v>
      </c>
      <c r="G477" s="2">
        <v>4</v>
      </c>
      <c r="H477" s="2">
        <v>5</v>
      </c>
      <c r="I477" s="2">
        <v>6</v>
      </c>
      <c r="J477" s="2">
        <v>7</v>
      </c>
      <c r="K477" s="2" t="e">
        <v>#N/A</v>
      </c>
    </row>
    <row r="480" spans="2:11" x14ac:dyDescent="0.15">
      <c r="B480" s="1" t="s">
        <v>879</v>
      </c>
      <c r="C480" s="1" t="s">
        <v>880</v>
      </c>
    </row>
    <row r="481" spans="2:14" x14ac:dyDescent="0.15">
      <c r="C481" s="1" t="s">
        <v>881</v>
      </c>
    </row>
    <row r="484" spans="2:14" x14ac:dyDescent="0.15">
      <c r="B484" s="1" t="s">
        <v>882</v>
      </c>
      <c r="C484" s="1" t="s">
        <v>883</v>
      </c>
    </row>
    <row r="485" spans="2:14" x14ac:dyDescent="0.15">
      <c r="C485" s="1" t="s">
        <v>884</v>
      </c>
    </row>
    <row r="488" spans="2:14" x14ac:dyDescent="0.15">
      <c r="B488" s="1" t="s">
        <v>885</v>
      </c>
      <c r="C488" s="1" t="s">
        <v>886</v>
      </c>
      <c r="D488" s="1">
        <f>EVEN(B7)</f>
        <v>0</v>
      </c>
      <c r="E488" s="1">
        <f>EVEN(C7)</f>
        <v>0</v>
      </c>
      <c r="F488" s="1">
        <f>EVEN(C9)</f>
        <v>2</v>
      </c>
      <c r="G488" s="2">
        <f>EVEN(C15)</f>
        <v>-2</v>
      </c>
      <c r="H488" s="2">
        <f>EVEN(C17)</f>
        <v>-2</v>
      </c>
      <c r="I488" s="2">
        <f>EVEN(D7)</f>
        <v>0</v>
      </c>
      <c r="J488" s="2" t="e">
        <f>EVEN(E7)</f>
        <v>#VALUE!</v>
      </c>
      <c r="K488" s="2">
        <f>EVEN(E16)</f>
        <v>2</v>
      </c>
      <c r="L488" s="2">
        <f>EVEN(F10)</f>
        <v>2</v>
      </c>
      <c r="M488" s="2">
        <f>EVEN(J11:M11)</f>
        <v>0</v>
      </c>
      <c r="N488" s="2">
        <f>EVEN(L486:L489)</f>
        <v>2</v>
      </c>
    </row>
    <row r="489" spans="2:14" x14ac:dyDescent="0.15">
      <c r="C489" s="1" t="s">
        <v>887</v>
      </c>
      <c r="D489" s="1">
        <v>0</v>
      </c>
      <c r="E489" s="1">
        <v>0</v>
      </c>
      <c r="F489" s="1">
        <v>2</v>
      </c>
      <c r="G489" s="2">
        <v>-2</v>
      </c>
      <c r="H489" s="2">
        <v>-2</v>
      </c>
      <c r="I489" s="2">
        <v>0</v>
      </c>
      <c r="J489" s="2" t="e">
        <v>#VALUE!</v>
      </c>
      <c r="K489" s="2">
        <v>2</v>
      </c>
      <c r="L489" s="2">
        <v>2</v>
      </c>
      <c r="M489" s="2">
        <v>0</v>
      </c>
      <c r="N489" s="2">
        <v>2</v>
      </c>
    </row>
    <row r="492" spans="2:14" x14ac:dyDescent="0.15">
      <c r="B492" s="1" t="s">
        <v>888</v>
      </c>
      <c r="C492" s="1" t="s">
        <v>889</v>
      </c>
      <c r="D492" s="1" t="b">
        <f>EXACT(123,"123")</f>
        <v>1</v>
      </c>
      <c r="E492" s="1" t="b">
        <f>EXACT(TRUE,B18)</f>
        <v>1</v>
      </c>
      <c r="F492" s="1" t="b">
        <f>EXACT(C9,C16)</f>
        <v>0</v>
      </c>
      <c r="G492" s="2" t="b">
        <f>EXACT(E13,E14)</f>
        <v>0</v>
      </c>
      <c r="H492" s="2" t="b">
        <f>EXACT(D8,D9)</f>
        <v>1</v>
      </c>
      <c r="I492" s="2" t="b">
        <f>EXACT(E9,F12)</f>
        <v>1</v>
      </c>
      <c r="J492" s="2" t="e">
        <f>EXACT(F12:G12,F12:G12)</f>
        <v>#VALUE!</v>
      </c>
      <c r="K492" s="2" t="b">
        <f>EXACT(J9:L9,K9)</f>
        <v>1</v>
      </c>
      <c r="L492" s="2" t="b">
        <f>EXACT(H491:H493,B18)</f>
        <v>1</v>
      </c>
    </row>
    <row r="493" spans="2:14" x14ac:dyDescent="0.15">
      <c r="C493" s="1" t="s">
        <v>890</v>
      </c>
      <c r="D493" s="1" t="b">
        <v>1</v>
      </c>
      <c r="E493" s="1" t="b">
        <v>1</v>
      </c>
      <c r="F493" s="1" t="b">
        <v>0</v>
      </c>
      <c r="G493" s="2" t="b">
        <v>0</v>
      </c>
      <c r="H493" s="2" t="b">
        <v>1</v>
      </c>
      <c r="I493" s="2" t="b">
        <v>1</v>
      </c>
      <c r="J493" s="2" t="e">
        <v>#VALUE!</v>
      </c>
      <c r="K493" s="2" t="b">
        <v>1</v>
      </c>
      <c r="L493" s="2" t="b">
        <v>1</v>
      </c>
    </row>
    <row r="496" spans="2:14" x14ac:dyDescent="0.15">
      <c r="B496" s="1" t="s">
        <v>891</v>
      </c>
      <c r="C496" s="1" t="s">
        <v>892</v>
      </c>
      <c r="D496" s="1" t="s">
        <v>247</v>
      </c>
    </row>
    <row r="497" spans="2:12" x14ac:dyDescent="0.15">
      <c r="C497" s="1" t="s">
        <v>893</v>
      </c>
      <c r="D497" s="1" t="s">
        <v>247</v>
      </c>
    </row>
    <row r="500" spans="2:12" x14ac:dyDescent="0.15">
      <c r="B500" s="1" t="s">
        <v>894</v>
      </c>
      <c r="C500" s="1" t="s">
        <v>895</v>
      </c>
      <c r="D500" s="1" t="s">
        <v>247</v>
      </c>
    </row>
    <row r="501" spans="2:12" x14ac:dyDescent="0.15">
      <c r="C501" s="1" t="s">
        <v>896</v>
      </c>
      <c r="D501" s="1" t="s">
        <v>247</v>
      </c>
    </row>
    <row r="504" spans="2:12" x14ac:dyDescent="0.15">
      <c r="B504" s="1" t="s">
        <v>897</v>
      </c>
      <c r="C504" s="1" t="s">
        <v>898</v>
      </c>
      <c r="D504" s="1">
        <f>EXP(B8)</f>
        <v>2.7182818284590451</v>
      </c>
      <c r="E504" s="1">
        <f>EXP(B7)</f>
        <v>1</v>
      </c>
      <c r="F504" s="1">
        <f>EXP(B17)</f>
        <v>1</v>
      </c>
      <c r="G504" s="2">
        <f>EXP(B15)</f>
        <v>0.36787944117144233</v>
      </c>
      <c r="H504" s="2">
        <f>EXP(B16)</f>
        <v>2.7182818284590451</v>
      </c>
      <c r="I504" s="2">
        <f>EXP(E15)</f>
        <v>2.7182818284590451</v>
      </c>
      <c r="J504" s="2" t="e">
        <f>EXP(E10)</f>
        <v>#VALUE!</v>
      </c>
      <c r="K504" s="2">
        <f>EXP(H12:L12)</f>
        <v>1</v>
      </c>
      <c r="L504" s="2">
        <f>EXP(K502:K505)</f>
        <v>2.7182818284590451</v>
      </c>
    </row>
    <row r="505" spans="2:12" x14ac:dyDescent="0.15">
      <c r="C505" s="1" t="s">
        <v>899</v>
      </c>
      <c r="D505" s="1">
        <v>2.7182818284590451</v>
      </c>
      <c r="E505" s="1">
        <v>1</v>
      </c>
      <c r="F505" s="1">
        <v>1</v>
      </c>
      <c r="G505" s="2">
        <v>0.36787944117144233</v>
      </c>
      <c r="H505" s="2">
        <v>2.7182818284590451</v>
      </c>
      <c r="I505" s="2">
        <v>2.7182818284590451</v>
      </c>
      <c r="J505" s="2" t="e">
        <v>#VALUE!</v>
      </c>
      <c r="K505" s="2">
        <v>1</v>
      </c>
      <c r="L505" s="2">
        <v>2.7182818284590451</v>
      </c>
    </row>
    <row r="508" spans="2:12" x14ac:dyDescent="0.15">
      <c r="B508" s="1" t="s">
        <v>900</v>
      </c>
      <c r="C508" s="1" t="s">
        <v>901</v>
      </c>
    </row>
    <row r="509" spans="2:12" x14ac:dyDescent="0.15">
      <c r="C509" s="1" t="s">
        <v>902</v>
      </c>
    </row>
    <row r="512" spans="2:12" x14ac:dyDescent="0.15">
      <c r="B512" s="1" t="s">
        <v>903</v>
      </c>
      <c r="C512" s="1" t="s">
        <v>904</v>
      </c>
      <c r="D512" s="1" t="s">
        <v>64</v>
      </c>
    </row>
    <row r="513" spans="2:20" x14ac:dyDescent="0.15">
      <c r="C513" s="1" t="s">
        <v>905</v>
      </c>
      <c r="D513" s="1" t="s">
        <v>64</v>
      </c>
    </row>
    <row r="516" spans="2:20" x14ac:dyDescent="0.15">
      <c r="B516" s="1" t="s">
        <v>906</v>
      </c>
      <c r="C516" s="1" t="s">
        <v>907</v>
      </c>
      <c r="D516" s="1">
        <f>FACT(1)</f>
        <v>1</v>
      </c>
      <c r="E516" s="1">
        <f>FACT(0)</f>
        <v>1</v>
      </c>
      <c r="F516" s="1">
        <f>FACT(B9)</f>
        <v>2</v>
      </c>
      <c r="G516" s="2">
        <f>FACT(C11)</f>
        <v>2</v>
      </c>
      <c r="H516" s="2">
        <f>FACT(15)</f>
        <v>1307674368000</v>
      </c>
      <c r="I516" s="2">
        <f>FACT(B16)</f>
        <v>1</v>
      </c>
      <c r="J516" s="2" t="e">
        <f>FACT(B18)</f>
        <v>#VALUE!</v>
      </c>
      <c r="K516" s="2">
        <f>FACT(D9)</f>
        <v>1</v>
      </c>
      <c r="L516" s="2" t="e">
        <f>FACT(C15)</f>
        <v>#NUM!</v>
      </c>
      <c r="M516" s="2" t="e">
        <f>FACT(B14)</f>
        <v>#NUM!</v>
      </c>
      <c r="N516" s="2">
        <f>FACT(E17)</f>
        <v>2</v>
      </c>
      <c r="P516" s="2" t="e">
        <f>FACT(G12)</f>
        <v>#VALUE!</v>
      </c>
      <c r="Q516" s="2">
        <f>FACT(F8)</f>
        <v>1</v>
      </c>
      <c r="R516" s="2">
        <f>FACT(G8)</f>
        <v>1</v>
      </c>
      <c r="S516" s="2">
        <f>FACT(G514:G517)</f>
        <v>2</v>
      </c>
      <c r="T516" s="2" t="e">
        <f>FACT(I11:J11)</f>
        <v>#VALUE!</v>
      </c>
    </row>
    <row r="517" spans="2:20" x14ac:dyDescent="0.15">
      <c r="C517" s="1" t="s">
        <v>626</v>
      </c>
      <c r="D517" s="1">
        <v>1</v>
      </c>
      <c r="E517" s="1">
        <v>1</v>
      </c>
      <c r="F517" s="1">
        <v>2</v>
      </c>
      <c r="G517" s="2">
        <v>2</v>
      </c>
      <c r="H517" s="2">
        <v>1307674368000</v>
      </c>
      <c r="I517" s="2">
        <v>1</v>
      </c>
      <c r="J517" s="2" t="e">
        <v>#VALUE!</v>
      </c>
      <c r="K517" s="2">
        <v>1</v>
      </c>
      <c r="L517" s="2" t="e">
        <v>#NUM!</v>
      </c>
      <c r="M517" s="2" t="e">
        <v>#NUM!</v>
      </c>
      <c r="N517" s="2">
        <v>2</v>
      </c>
      <c r="P517" s="2" t="e">
        <v>#VALUE!</v>
      </c>
      <c r="Q517" s="2">
        <v>1</v>
      </c>
      <c r="R517" s="2">
        <v>1</v>
      </c>
      <c r="S517" s="2">
        <v>2</v>
      </c>
      <c r="T517" s="2" t="e">
        <v>#VALUE!</v>
      </c>
    </row>
    <row r="520" spans="2:20" x14ac:dyDescent="0.15">
      <c r="B520" s="1" t="s">
        <v>1225</v>
      </c>
      <c r="C520" s="1" t="s">
        <v>2</v>
      </c>
      <c r="D520" s="60">
        <f>_xludf.FACTDOUBLE(6)</f>
        <v>48</v>
      </c>
      <c r="E520" s="60">
        <f>_xludf.FACTDOUBLE(7)</f>
        <v>105</v>
      </c>
      <c r="F520" s="60">
        <f>_xludf.FACTDOUBLE(12)</f>
        <v>46080</v>
      </c>
      <c r="G520" s="60">
        <f>_xludf.FACTDOUBLE(20)</f>
        <v>3715891200</v>
      </c>
      <c r="H520" s="60">
        <f>_xludf.FACTDOUBLE(1)</f>
        <v>1</v>
      </c>
      <c r="I520" s="60">
        <f>_xludf.FACTDOUBLE(0)</f>
        <v>1</v>
      </c>
      <c r="J520" s="60">
        <f>_xludf.FACTDOUBLE(2)</f>
        <v>2</v>
      </c>
      <c r="K520" s="60" t="e">
        <f>_xludf.FACTDOUBLE("ABCDEFGHI")</f>
        <v>#VALUE!</v>
      </c>
      <c r="L520" s="60" t="e">
        <f>_xludf.FACTDOUBLE(-7)</f>
        <v>#NUM!</v>
      </c>
      <c r="M520" s="60">
        <f>_xludf.FACTDOUBLE(10.01)</f>
        <v>3840</v>
      </c>
    </row>
    <row r="521" spans="2:20" x14ac:dyDescent="0.15">
      <c r="C521" s="1" t="s">
        <v>0</v>
      </c>
      <c r="D521" s="57">
        <v>48</v>
      </c>
      <c r="E521" s="57">
        <v>105</v>
      </c>
      <c r="F521" s="57">
        <v>46080</v>
      </c>
      <c r="G521" s="60">
        <v>3715891200</v>
      </c>
      <c r="H521" s="61">
        <v>1</v>
      </c>
      <c r="I521" s="61">
        <v>1</v>
      </c>
      <c r="J521" s="61">
        <v>2</v>
      </c>
      <c r="K521" s="60" t="e">
        <v>#VALUE!</v>
      </c>
      <c r="L521" s="60" t="e">
        <v>#NUM!</v>
      </c>
      <c r="M521" s="60">
        <v>3840</v>
      </c>
    </row>
    <row r="524" spans="2:20" x14ac:dyDescent="0.15">
      <c r="B524" s="26" t="s">
        <v>1192</v>
      </c>
      <c r="C524" s="1" t="s">
        <v>627</v>
      </c>
      <c r="D524" s="1" t="b">
        <f>FALSE()</f>
        <v>0</v>
      </c>
    </row>
    <row r="525" spans="2:20" x14ac:dyDescent="0.15">
      <c r="C525" s="1" t="s">
        <v>628</v>
      </c>
      <c r="D525" s="1" t="b">
        <v>0</v>
      </c>
    </row>
    <row r="528" spans="2:20" x14ac:dyDescent="0.15">
      <c r="B528" s="1" t="s">
        <v>629</v>
      </c>
      <c r="C528" s="1" t="s">
        <v>630</v>
      </c>
      <c r="D528" s="1" t="s">
        <v>247</v>
      </c>
    </row>
    <row r="529" spans="2:8" x14ac:dyDescent="0.15">
      <c r="C529" s="1" t="s">
        <v>631</v>
      </c>
      <c r="D529" s="1" t="s">
        <v>247</v>
      </c>
    </row>
    <row r="532" spans="2:8" x14ac:dyDescent="0.15">
      <c r="B532" s="1" t="s">
        <v>632</v>
      </c>
      <c r="C532" s="1" t="s">
        <v>633</v>
      </c>
    </row>
    <row r="533" spans="2:8" x14ac:dyDescent="0.15">
      <c r="C533" s="1" t="s">
        <v>634</v>
      </c>
    </row>
    <row r="536" spans="2:8" x14ac:dyDescent="0.15">
      <c r="B536" s="1" t="s">
        <v>635</v>
      </c>
      <c r="C536" s="1" t="s">
        <v>636</v>
      </c>
      <c r="D536" s="1" t="s">
        <v>247</v>
      </c>
    </row>
    <row r="537" spans="2:8" x14ac:dyDescent="0.15">
      <c r="C537" s="1" t="s">
        <v>637</v>
      </c>
      <c r="D537" s="1" t="s">
        <v>247</v>
      </c>
    </row>
    <row r="540" spans="2:8" x14ac:dyDescent="0.15">
      <c r="B540" s="1" t="s">
        <v>638</v>
      </c>
      <c r="C540" s="1" t="s">
        <v>639</v>
      </c>
      <c r="D540" s="1">
        <f>FIND("o",E8)</f>
        <v>2</v>
      </c>
      <c r="E540" s="1" t="e">
        <f>FIND("O",E8)</f>
        <v>#VALUE!</v>
      </c>
      <c r="F540" s="1">
        <f>FIND("Space",E10)</f>
        <v>9</v>
      </c>
      <c r="G540" s="1">
        <f>FIND("s",E9)</f>
        <v>1</v>
      </c>
      <c r="H540" s="1">
        <f>FIND("s",E9,3)</f>
        <v>8</v>
      </c>
    </row>
    <row r="541" spans="2:8" x14ac:dyDescent="0.15">
      <c r="C541" s="1" t="s">
        <v>640</v>
      </c>
      <c r="D541" s="1">
        <v>2</v>
      </c>
      <c r="E541" s="1" t="e">
        <v>#VALUE!</v>
      </c>
      <c r="F541" s="1">
        <v>9</v>
      </c>
      <c r="G541" s="2">
        <v>1</v>
      </c>
      <c r="H541" s="2">
        <v>8</v>
      </c>
    </row>
    <row r="544" spans="2:8" x14ac:dyDescent="0.15">
      <c r="B544" s="1" t="s">
        <v>641</v>
      </c>
      <c r="C544" s="1" t="s">
        <v>642</v>
      </c>
    </row>
    <row r="545" spans="2:3" x14ac:dyDescent="0.15">
      <c r="C545" s="1" t="s">
        <v>643</v>
      </c>
    </row>
    <row r="548" spans="2:3" x14ac:dyDescent="0.15">
      <c r="B548" s="1" t="s">
        <v>644</v>
      </c>
      <c r="C548" s="1" t="s">
        <v>645</v>
      </c>
    </row>
    <row r="549" spans="2:3" x14ac:dyDescent="0.15">
      <c r="C549" s="1" t="s">
        <v>646</v>
      </c>
    </row>
    <row r="552" spans="2:3" x14ac:dyDescent="0.15">
      <c r="B552" s="1" t="s">
        <v>647</v>
      </c>
      <c r="C552" s="1" t="s">
        <v>648</v>
      </c>
    </row>
    <row r="553" spans="2:3" x14ac:dyDescent="0.15">
      <c r="C553" s="1" t="s">
        <v>649</v>
      </c>
    </row>
    <row r="556" spans="2:3" x14ac:dyDescent="0.15">
      <c r="B556" s="1" t="s">
        <v>650</v>
      </c>
      <c r="C556" s="1" t="s">
        <v>651</v>
      </c>
    </row>
    <row r="557" spans="2:3" x14ac:dyDescent="0.15">
      <c r="C557" s="1" t="s">
        <v>935</v>
      </c>
    </row>
    <row r="560" spans="2:3" x14ac:dyDescent="0.15">
      <c r="B560" s="1" t="s">
        <v>936</v>
      </c>
      <c r="C560" s="1" t="s">
        <v>937</v>
      </c>
    </row>
    <row r="561" spans="2:13" x14ac:dyDescent="0.15">
      <c r="C561" s="1" t="s">
        <v>938</v>
      </c>
    </row>
    <row r="564" spans="2:13" x14ac:dyDescent="0.15">
      <c r="B564" s="1" t="s">
        <v>939</v>
      </c>
      <c r="C564" s="1" t="s">
        <v>940</v>
      </c>
      <c r="D564" s="1">
        <f>FLOOR(1.002,2)</f>
        <v>0</v>
      </c>
      <c r="E564" s="1">
        <f>FLOOR(B10,B9)</f>
        <v>534</v>
      </c>
      <c r="F564" s="1">
        <f>FLOOR(C14,C16)</f>
        <v>-2.2000000000000002</v>
      </c>
      <c r="G564" s="2">
        <f>FLOOR(C16,C15)</f>
        <v>-1.0000100000000001</v>
      </c>
      <c r="H564" s="2">
        <f>FLOOR(C17,C16)</f>
        <v>0</v>
      </c>
      <c r="I564" s="2">
        <f>FLOOR(0,0)</f>
        <v>0</v>
      </c>
      <c r="J564" s="2" t="e">
        <f>FLOOR(1,0)</f>
        <v>#DIV/0!</v>
      </c>
      <c r="K564" s="2">
        <f>FLOOR(K9:L9,K7)</f>
        <v>3</v>
      </c>
      <c r="L564" s="2">
        <f>FLOOR(F562:F565,G564)</f>
        <v>-2.0000200000000001</v>
      </c>
      <c r="M564" s="2" t="e">
        <f>FLOOR(G7:H8,H10)</f>
        <v>#VALUE!</v>
      </c>
    </row>
    <row r="565" spans="2:13" x14ac:dyDescent="0.15">
      <c r="C565" s="1" t="s">
        <v>941</v>
      </c>
      <c r="D565" s="1">
        <v>0</v>
      </c>
      <c r="E565" s="1">
        <v>534</v>
      </c>
      <c r="F565" s="1">
        <v>-2.2000000000000002</v>
      </c>
      <c r="G565" s="2">
        <v>-1.0000100000000001</v>
      </c>
      <c r="H565" s="2">
        <v>0</v>
      </c>
      <c r="I565" s="2">
        <v>0</v>
      </c>
      <c r="J565" s="2" t="e">
        <v>#DIV/0!</v>
      </c>
      <c r="K565" s="2">
        <v>3</v>
      </c>
      <c r="L565" s="2">
        <v>-2.0000200000000001</v>
      </c>
      <c r="M565" s="2" t="e">
        <v>#VALUE!</v>
      </c>
    </row>
    <row r="568" spans="2:13" x14ac:dyDescent="0.15">
      <c r="B568" s="1" t="s">
        <v>942</v>
      </c>
      <c r="C568" s="1" t="s">
        <v>943</v>
      </c>
      <c r="D568" s="1" t="s">
        <v>247</v>
      </c>
    </row>
    <row r="569" spans="2:13" x14ac:dyDescent="0.15">
      <c r="C569" s="1" t="s">
        <v>944</v>
      </c>
      <c r="D569" s="1" t="s">
        <v>247</v>
      </c>
    </row>
    <row r="572" spans="2:13" x14ac:dyDescent="0.15">
      <c r="B572" s="1" t="s">
        <v>945</v>
      </c>
      <c r="C572" s="1" t="s">
        <v>946</v>
      </c>
    </row>
    <row r="573" spans="2:13" x14ac:dyDescent="0.15">
      <c r="C573" s="1" t="s">
        <v>947</v>
      </c>
    </row>
    <row r="576" spans="2:13" x14ac:dyDescent="0.15">
      <c r="B576" s="1" t="s">
        <v>948</v>
      </c>
      <c r="C576" s="1" t="s">
        <v>949</v>
      </c>
    </row>
    <row r="577" spans="2:4" x14ac:dyDescent="0.15">
      <c r="C577" s="1" t="s">
        <v>950</v>
      </c>
    </row>
    <row r="580" spans="2:4" x14ac:dyDescent="0.15">
      <c r="B580" s="1" t="s">
        <v>951</v>
      </c>
      <c r="C580" s="1" t="s">
        <v>952</v>
      </c>
    </row>
    <row r="581" spans="2:4" x14ac:dyDescent="0.15">
      <c r="C581" s="1" t="s">
        <v>953</v>
      </c>
    </row>
    <row r="584" spans="2:4" x14ac:dyDescent="0.15">
      <c r="B584" s="1" t="s">
        <v>954</v>
      </c>
      <c r="C584" s="1" t="s">
        <v>955</v>
      </c>
      <c r="D584" s="1" t="s">
        <v>247</v>
      </c>
    </row>
    <row r="585" spans="2:4" x14ac:dyDescent="0.15">
      <c r="C585" s="1" t="s">
        <v>956</v>
      </c>
      <c r="D585" s="1" t="s">
        <v>247</v>
      </c>
    </row>
    <row r="588" spans="2:4" x14ac:dyDescent="0.15">
      <c r="B588" s="1" t="s">
        <v>957</v>
      </c>
      <c r="C588" s="1" t="s">
        <v>958</v>
      </c>
      <c r="D588" s="1" t="s">
        <v>247</v>
      </c>
    </row>
    <row r="589" spans="2:4" x14ac:dyDescent="0.15">
      <c r="C589" s="1" t="s">
        <v>959</v>
      </c>
      <c r="D589" s="1" t="s">
        <v>247</v>
      </c>
    </row>
    <row r="592" spans="2:4" x14ac:dyDescent="0.15">
      <c r="B592" s="1" t="s">
        <v>960</v>
      </c>
      <c r="C592" s="1" t="s">
        <v>961</v>
      </c>
    </row>
    <row r="593" spans="2:6" x14ac:dyDescent="0.15">
      <c r="C593" s="1" t="s">
        <v>679</v>
      </c>
    </row>
    <row r="596" spans="2:6" x14ac:dyDescent="0.15">
      <c r="B596" s="1" t="s">
        <v>680</v>
      </c>
      <c r="C596" s="1" t="s">
        <v>681</v>
      </c>
      <c r="D596" s="1" t="s">
        <v>247</v>
      </c>
    </row>
    <row r="597" spans="2:6" x14ac:dyDescent="0.15">
      <c r="C597" s="1" t="s">
        <v>682</v>
      </c>
      <c r="D597" s="1" t="s">
        <v>247</v>
      </c>
    </row>
    <row r="600" spans="2:6" x14ac:dyDescent="0.15">
      <c r="B600" s="1" t="s">
        <v>683</v>
      </c>
      <c r="C600" s="1" t="s">
        <v>684</v>
      </c>
    </row>
    <row r="601" spans="2:6" x14ac:dyDescent="0.15">
      <c r="C601" s="1" t="s">
        <v>685</v>
      </c>
    </row>
    <row r="604" spans="2:6" x14ac:dyDescent="0.15">
      <c r="B604" s="1" t="s">
        <v>686</v>
      </c>
      <c r="C604" s="1" t="s">
        <v>687</v>
      </c>
      <c r="D604" s="41">
        <f>FV(0,0,0)</f>
        <v>0</v>
      </c>
      <c r="E604" s="41">
        <f>FV(0.01,10,100)</f>
        <v>-1046.2212541120473</v>
      </c>
      <c r="F604" s="41">
        <f>FV(0.01,10,B16)</f>
        <v>-10.462212541120474</v>
      </c>
    </row>
    <row r="605" spans="2:6" x14ac:dyDescent="0.15">
      <c r="C605" s="1" t="s">
        <v>688</v>
      </c>
      <c r="D605" s="1">
        <v>0</v>
      </c>
      <c r="E605" s="1">
        <v>-1046.2212541120473</v>
      </c>
      <c r="F605" s="1">
        <v>-10.462212541120474</v>
      </c>
    </row>
    <row r="608" spans="2:6" x14ac:dyDescent="0.15">
      <c r="B608" s="1" t="s">
        <v>689</v>
      </c>
      <c r="C608" s="1" t="s">
        <v>690</v>
      </c>
    </row>
    <row r="609" spans="2:3" x14ac:dyDescent="0.15">
      <c r="C609" s="1" t="s">
        <v>691</v>
      </c>
    </row>
    <row r="612" spans="2:3" x14ac:dyDescent="0.15">
      <c r="B612" s="1" t="s">
        <v>692</v>
      </c>
      <c r="C612" s="1" t="s">
        <v>693</v>
      </c>
    </row>
    <row r="613" spans="2:3" x14ac:dyDescent="0.15">
      <c r="C613" s="1" t="s">
        <v>694</v>
      </c>
    </row>
    <row r="616" spans="2:3" x14ac:dyDescent="0.15">
      <c r="B616" s="1" t="s">
        <v>695</v>
      </c>
      <c r="C616" s="1" t="s">
        <v>696</v>
      </c>
    </row>
    <row r="617" spans="2:3" x14ac:dyDescent="0.15">
      <c r="C617" s="1" t="s">
        <v>697</v>
      </c>
    </row>
    <row r="620" spans="2:3" x14ac:dyDescent="0.15">
      <c r="B620" s="1" t="s">
        <v>698</v>
      </c>
      <c r="C620" s="1" t="s">
        <v>699</v>
      </c>
    </row>
    <row r="621" spans="2:3" x14ac:dyDescent="0.15">
      <c r="C621" s="1" t="s">
        <v>700</v>
      </c>
    </row>
    <row r="624" spans="2:3" x14ac:dyDescent="0.15">
      <c r="B624" s="1" t="s">
        <v>701</v>
      </c>
      <c r="C624" s="1" t="s">
        <v>702</v>
      </c>
    </row>
    <row r="625" spans="2:4" x14ac:dyDescent="0.15">
      <c r="C625" s="1" t="s">
        <v>703</v>
      </c>
    </row>
    <row r="628" spans="2:4" x14ac:dyDescent="0.15">
      <c r="B628" s="1" t="s">
        <v>704</v>
      </c>
      <c r="C628" s="1" t="s">
        <v>705</v>
      </c>
    </row>
    <row r="629" spans="2:4" x14ac:dyDescent="0.15">
      <c r="C629" s="1" t="s">
        <v>706</v>
      </c>
    </row>
    <row r="632" spans="2:4" x14ac:dyDescent="0.15">
      <c r="B632" s="1" t="s">
        <v>707</v>
      </c>
      <c r="C632" s="1" t="s">
        <v>708</v>
      </c>
      <c r="D632" s="1" t="s">
        <v>247</v>
      </c>
    </row>
    <row r="633" spans="2:4" x14ac:dyDescent="0.15">
      <c r="C633" s="1" t="s">
        <v>709</v>
      </c>
      <c r="D633" s="1" t="s">
        <v>247</v>
      </c>
    </row>
    <row r="636" spans="2:4" x14ac:dyDescent="0.15">
      <c r="B636" s="1" t="s">
        <v>710</v>
      </c>
      <c r="C636" s="1" t="s">
        <v>711</v>
      </c>
      <c r="D636" s="1" t="s">
        <v>247</v>
      </c>
    </row>
    <row r="637" spans="2:4" x14ac:dyDescent="0.15">
      <c r="C637" s="1" t="s">
        <v>712</v>
      </c>
      <c r="D637" s="1" t="s">
        <v>247</v>
      </c>
    </row>
    <row r="640" spans="2:4" x14ac:dyDescent="0.15">
      <c r="B640" s="1" t="s">
        <v>713</v>
      </c>
      <c r="C640" s="1" t="s">
        <v>714</v>
      </c>
      <c r="D640" s="1" t="s">
        <v>247</v>
      </c>
    </row>
    <row r="641" spans="2:4" x14ac:dyDescent="0.15">
      <c r="C641" s="1" t="s">
        <v>715</v>
      </c>
      <c r="D641" s="1" t="s">
        <v>247</v>
      </c>
    </row>
    <row r="644" spans="2:4" x14ac:dyDescent="0.15">
      <c r="B644" s="1" t="s">
        <v>716</v>
      </c>
      <c r="C644" s="1" t="s">
        <v>717</v>
      </c>
      <c r="D644" s="1" t="s">
        <v>247</v>
      </c>
    </row>
    <row r="645" spans="2:4" x14ac:dyDescent="0.15">
      <c r="C645" s="1" t="s">
        <v>718</v>
      </c>
      <c r="D645" s="1" t="s">
        <v>247</v>
      </c>
    </row>
    <row r="648" spans="2:4" x14ac:dyDescent="0.15">
      <c r="B648" s="1" t="s">
        <v>719</v>
      </c>
      <c r="C648" s="1" t="s">
        <v>720</v>
      </c>
      <c r="D648" s="1" t="s">
        <v>247</v>
      </c>
    </row>
    <row r="649" spans="2:4" x14ac:dyDescent="0.15">
      <c r="C649" s="1" t="s">
        <v>721</v>
      </c>
      <c r="D649" s="1" t="s">
        <v>247</v>
      </c>
    </row>
    <row r="652" spans="2:4" x14ac:dyDescent="0.15">
      <c r="B652" s="1" t="s">
        <v>722</v>
      </c>
      <c r="C652" s="1" t="s">
        <v>723</v>
      </c>
      <c r="D652" s="1" t="s">
        <v>247</v>
      </c>
    </row>
    <row r="653" spans="2:4" x14ac:dyDescent="0.15">
      <c r="C653" s="1" t="s">
        <v>724</v>
      </c>
      <c r="D653" s="1" t="s">
        <v>247</v>
      </c>
    </row>
    <row r="656" spans="2:4" x14ac:dyDescent="0.15">
      <c r="B656" s="1" t="s">
        <v>725</v>
      </c>
      <c r="C656" s="1" t="s">
        <v>726</v>
      </c>
      <c r="D656" s="1" t="s">
        <v>247</v>
      </c>
    </row>
    <row r="657" spans="2:4" x14ac:dyDescent="0.15">
      <c r="C657" s="1" t="s">
        <v>727</v>
      </c>
      <c r="D657" s="1" t="s">
        <v>247</v>
      </c>
    </row>
    <row r="660" spans="2:4" x14ac:dyDescent="0.15">
      <c r="B660" s="1" t="s">
        <v>728</v>
      </c>
      <c r="C660" s="1" t="s">
        <v>729</v>
      </c>
      <c r="D660" s="1" t="s">
        <v>247</v>
      </c>
    </row>
    <row r="661" spans="2:4" x14ac:dyDescent="0.15">
      <c r="C661" s="1" t="s">
        <v>730</v>
      </c>
      <c r="D661" s="1" t="s">
        <v>247</v>
      </c>
    </row>
    <row r="664" spans="2:4" x14ac:dyDescent="0.15">
      <c r="B664" s="1" t="s">
        <v>731</v>
      </c>
      <c r="C664" s="1" t="s">
        <v>732</v>
      </c>
      <c r="D664" s="1" t="s">
        <v>247</v>
      </c>
    </row>
    <row r="665" spans="2:4" x14ac:dyDescent="0.15">
      <c r="C665" s="1" t="s">
        <v>733</v>
      </c>
      <c r="D665" s="1" t="s">
        <v>247</v>
      </c>
    </row>
    <row r="668" spans="2:4" x14ac:dyDescent="0.15">
      <c r="B668" s="1" t="s">
        <v>734</v>
      </c>
      <c r="C668" s="1" t="s">
        <v>735</v>
      </c>
      <c r="D668" s="1" t="s">
        <v>247</v>
      </c>
    </row>
    <row r="669" spans="2:4" x14ac:dyDescent="0.15">
      <c r="C669" s="1" t="s">
        <v>736</v>
      </c>
      <c r="D669" s="1" t="s">
        <v>247</v>
      </c>
    </row>
    <row r="672" spans="2:4" x14ac:dyDescent="0.15">
      <c r="B672" s="1" t="s">
        <v>737</v>
      </c>
      <c r="C672" s="1" t="s">
        <v>738</v>
      </c>
      <c r="D672" s="1" t="s">
        <v>247</v>
      </c>
    </row>
    <row r="673" spans="2:4" x14ac:dyDescent="0.15">
      <c r="C673" s="1" t="s">
        <v>739</v>
      </c>
      <c r="D673" s="1" t="s">
        <v>247</v>
      </c>
    </row>
    <row r="676" spans="2:4" x14ac:dyDescent="0.15">
      <c r="B676" s="1" t="s">
        <v>740</v>
      </c>
      <c r="C676" s="1" t="s">
        <v>741</v>
      </c>
    </row>
    <row r="677" spans="2:4" x14ac:dyDescent="0.15">
      <c r="C677" s="1" t="s">
        <v>742</v>
      </c>
    </row>
    <row r="680" spans="2:4" x14ac:dyDescent="0.15">
      <c r="B680" s="1" t="s">
        <v>743</v>
      </c>
      <c r="C680" s="1" t="s">
        <v>744</v>
      </c>
    </row>
    <row r="681" spans="2:4" x14ac:dyDescent="0.15">
      <c r="C681" s="1" t="s">
        <v>745</v>
      </c>
    </row>
    <row r="684" spans="2:4" x14ac:dyDescent="0.15">
      <c r="B684" s="1" t="s">
        <v>746</v>
      </c>
      <c r="C684" s="1" t="s">
        <v>747</v>
      </c>
    </row>
    <row r="685" spans="2:4" x14ac:dyDescent="0.15">
      <c r="C685" s="1" t="s">
        <v>748</v>
      </c>
    </row>
    <row r="688" spans="2:4" x14ac:dyDescent="0.15">
      <c r="B688" s="1" t="s">
        <v>749</v>
      </c>
      <c r="C688" s="1" t="s">
        <v>750</v>
      </c>
    </row>
    <row r="689" spans="2:4" x14ac:dyDescent="0.15">
      <c r="C689" s="1" t="s">
        <v>751</v>
      </c>
    </row>
    <row r="692" spans="2:4" x14ac:dyDescent="0.15">
      <c r="B692" s="1" t="s">
        <v>752</v>
      </c>
      <c r="C692" s="1" t="s">
        <v>753</v>
      </c>
      <c r="D692" s="1" t="s">
        <v>247</v>
      </c>
    </row>
    <row r="693" spans="2:4" x14ac:dyDescent="0.15">
      <c r="C693" s="1" t="s">
        <v>754</v>
      </c>
      <c r="D693" s="1" t="s">
        <v>247</v>
      </c>
    </row>
    <row r="696" spans="2:4" x14ac:dyDescent="0.15">
      <c r="B696" s="1" t="s">
        <v>755</v>
      </c>
      <c r="C696" s="1" t="s">
        <v>756</v>
      </c>
      <c r="D696" s="1" t="s">
        <v>247</v>
      </c>
    </row>
    <row r="697" spans="2:4" x14ac:dyDescent="0.15">
      <c r="C697" s="1" t="s">
        <v>757</v>
      </c>
      <c r="D697" s="1" t="s">
        <v>247</v>
      </c>
    </row>
    <row r="700" spans="2:4" x14ac:dyDescent="0.15">
      <c r="B700" s="1" t="s">
        <v>758</v>
      </c>
      <c r="C700" s="1" t="s">
        <v>759</v>
      </c>
      <c r="D700" s="1" t="s">
        <v>247</v>
      </c>
    </row>
    <row r="701" spans="2:4" x14ac:dyDescent="0.15">
      <c r="C701" s="1" t="s">
        <v>760</v>
      </c>
      <c r="D701" s="1" t="s">
        <v>247</v>
      </c>
    </row>
    <row r="704" spans="2:4" x14ac:dyDescent="0.15">
      <c r="B704" s="1" t="s">
        <v>761</v>
      </c>
      <c r="C704" s="1" t="s">
        <v>762</v>
      </c>
      <c r="D704" s="1" t="s">
        <v>247</v>
      </c>
    </row>
    <row r="705" spans="2:4" x14ac:dyDescent="0.15">
      <c r="C705" s="1" t="s">
        <v>763</v>
      </c>
      <c r="D705" s="1" t="s">
        <v>247</v>
      </c>
    </row>
    <row r="708" spans="2:4" x14ac:dyDescent="0.15">
      <c r="B708" s="1" t="s">
        <v>764</v>
      </c>
      <c r="C708" s="1" t="s">
        <v>765</v>
      </c>
      <c r="D708" s="1" t="s">
        <v>247</v>
      </c>
    </row>
    <row r="709" spans="2:4" x14ac:dyDescent="0.15">
      <c r="C709" s="1" t="s">
        <v>481</v>
      </c>
      <c r="D709" s="1" t="s">
        <v>247</v>
      </c>
    </row>
    <row r="712" spans="2:4" x14ac:dyDescent="0.15">
      <c r="B712" s="1" t="s">
        <v>482</v>
      </c>
      <c r="C712" s="1" t="s">
        <v>483</v>
      </c>
    </row>
    <row r="713" spans="2:4" x14ac:dyDescent="0.15">
      <c r="C713" s="1" t="s">
        <v>484</v>
      </c>
    </row>
    <row r="716" spans="2:4" x14ac:dyDescent="0.15">
      <c r="B716" s="1" t="s">
        <v>485</v>
      </c>
      <c r="C716" s="1" t="s">
        <v>486</v>
      </c>
    </row>
    <row r="717" spans="2:4" x14ac:dyDescent="0.15">
      <c r="C717" s="1" t="s">
        <v>487</v>
      </c>
    </row>
    <row r="720" spans="2:4" x14ac:dyDescent="0.15">
      <c r="B720" s="1" t="s">
        <v>488</v>
      </c>
      <c r="C720" s="1" t="s">
        <v>489</v>
      </c>
    </row>
    <row r="721" spans="2:13" x14ac:dyDescent="0.15">
      <c r="C721" s="1" t="s">
        <v>490</v>
      </c>
    </row>
    <row r="724" spans="2:13" x14ac:dyDescent="0.15">
      <c r="B724" s="1" t="s">
        <v>491</v>
      </c>
      <c r="C724" s="1" t="s">
        <v>492</v>
      </c>
    </row>
    <row r="725" spans="2:13" x14ac:dyDescent="0.15">
      <c r="C725" s="1" t="s">
        <v>493</v>
      </c>
    </row>
    <row r="728" spans="2:13" x14ac:dyDescent="0.15">
      <c r="B728" s="1" t="s">
        <v>494</v>
      </c>
      <c r="C728" s="1" t="s">
        <v>495</v>
      </c>
    </row>
    <row r="729" spans="2:13" x14ac:dyDescent="0.15">
      <c r="C729" s="1" t="s">
        <v>496</v>
      </c>
    </row>
    <row r="732" spans="2:13" x14ac:dyDescent="0.15">
      <c r="B732" s="1" t="s">
        <v>497</v>
      </c>
      <c r="C732" s="1" t="s">
        <v>498</v>
      </c>
    </row>
    <row r="733" spans="2:13" x14ac:dyDescent="0.15">
      <c r="C733" s="1" t="s">
        <v>499</v>
      </c>
    </row>
    <row r="736" spans="2:13" x14ac:dyDescent="0.15">
      <c r="B736" s="1" t="s">
        <v>1232</v>
      </c>
      <c r="C736" s="1" t="s">
        <v>2</v>
      </c>
      <c r="D736" s="62">
        <f>_xludf.HEX2DEC("A5")</f>
        <v>165</v>
      </c>
      <c r="E736" s="62">
        <f>_xludf.HEX2DEC("FFFFFFFF5B")</f>
        <v>-165</v>
      </c>
      <c r="F736" s="62">
        <f>_xludf.HEX2DEC("3DA408B9")</f>
        <v>1034160313</v>
      </c>
      <c r="G736" s="60">
        <f>_xludf.HEX2DEC("FFFF")</f>
        <v>65535</v>
      </c>
      <c r="H736" s="60">
        <f>_xludf.HEX2DEC("FF")</f>
        <v>255</v>
      </c>
      <c r="I736" s="60">
        <f>_xludf.HEX2DEC("F000000001")</f>
        <v>-68719476735</v>
      </c>
      <c r="J736" s="58">
        <f>_xludf.HEX2DEC("0000250001")</f>
        <v>2424833</v>
      </c>
      <c r="K736" s="58">
        <f>_xludf.HEX2DEC("001")</f>
        <v>1</v>
      </c>
      <c r="L736" s="60" t="e">
        <f>_xludf.HEX2DEC("ABCDEFGHI")</f>
        <v>#NUM!</v>
      </c>
      <c r="M736" s="60" t="e">
        <f>_xludf.HEX2DEC(11001001100100)</f>
        <v>#NUM!</v>
      </c>
    </row>
    <row r="737" spans="2:13" x14ac:dyDescent="0.15">
      <c r="C737" s="1" t="s">
        <v>0</v>
      </c>
      <c r="D737" s="57">
        <v>165</v>
      </c>
      <c r="E737" s="1">
        <v>-165</v>
      </c>
      <c r="F737" s="13">
        <v>1034160313</v>
      </c>
      <c r="G737" s="13">
        <v>65535</v>
      </c>
      <c r="H737" s="2">
        <v>255</v>
      </c>
      <c r="I737" s="13">
        <v>-68719476735</v>
      </c>
      <c r="J737" s="13">
        <v>2424833</v>
      </c>
      <c r="K737" s="2">
        <v>1</v>
      </c>
      <c r="L737" s="2" t="e">
        <v>#NUM!</v>
      </c>
      <c r="M737" s="2" t="e">
        <v>#NUM!</v>
      </c>
    </row>
    <row r="740" spans="2:13" x14ac:dyDescent="0.15">
      <c r="B740" s="1" t="s">
        <v>500</v>
      </c>
      <c r="C740" s="1" t="s">
        <v>501</v>
      </c>
      <c r="D740" s="1">
        <f>HLOOKUP("DOUBLE",$B$6:$H$12,3, FALSE)</f>
        <v>1.0000000000000001E-5</v>
      </c>
      <c r="E740" s="1">
        <f>HLOOKUP("DOUBLE",$B$6:$H$12,3, FALSE)</f>
        <v>1.0000000000000001E-5</v>
      </c>
      <c r="F740" s="1" t="str">
        <f>HLOOKUP("STRing",$B$6:$H$12,3, FALSE)</f>
        <v>nospaces</v>
      </c>
      <c r="G740" s="1" t="str">
        <f>HLOOKUP("STRING",$B$6:$H$12,6, TRUE)</f>
        <v xml:space="preserve"> beginsWithSpace</v>
      </c>
    </row>
    <row r="741" spans="2:13" x14ac:dyDescent="0.15">
      <c r="C741" s="1" t="s">
        <v>502</v>
      </c>
      <c r="D741" s="1">
        <v>1.0000000000000001E-5</v>
      </c>
      <c r="E741" s="1">
        <v>1.0000000000000001E-5</v>
      </c>
      <c r="F741" s="1" t="s">
        <v>1117</v>
      </c>
      <c r="G741" s="2" t="s">
        <v>1125</v>
      </c>
    </row>
    <row r="744" spans="2:13" x14ac:dyDescent="0.15">
      <c r="B744" s="1" t="s">
        <v>503</v>
      </c>
      <c r="C744" s="1" t="s">
        <v>504</v>
      </c>
      <c r="D744" s="1">
        <f>HOUR(1)</f>
        <v>0</v>
      </c>
      <c r="E744" s="1">
        <f>HOUR(0.75)</f>
        <v>18</v>
      </c>
      <c r="F744" s="1">
        <f>HOUR(0.33)</f>
        <v>7</v>
      </c>
      <c r="G744" s="2">
        <f>HOUR(D7)</f>
        <v>0</v>
      </c>
      <c r="H744" s="2" t="e">
        <f>HOUR(E8)</f>
        <v>#VALUE!</v>
      </c>
    </row>
    <row r="745" spans="2:13" x14ac:dyDescent="0.15">
      <c r="C745" s="1" t="s">
        <v>505</v>
      </c>
      <c r="D745" s="1">
        <v>0</v>
      </c>
      <c r="E745" s="1">
        <v>18</v>
      </c>
      <c r="F745" s="1">
        <v>7</v>
      </c>
      <c r="G745" s="2">
        <v>0</v>
      </c>
      <c r="H745" s="2" t="e">
        <v>#VALUE!</v>
      </c>
    </row>
    <row r="748" spans="2:13" x14ac:dyDescent="0.15">
      <c r="B748" s="1" t="s">
        <v>506</v>
      </c>
      <c r="C748" s="1" t="s">
        <v>792</v>
      </c>
      <c r="D748" s="12" t="str">
        <f>HYPERLINK("http://poi.apache.org")</f>
        <v>http://poi.apache.org</v>
      </c>
    </row>
    <row r="749" spans="2:13" x14ac:dyDescent="0.15">
      <c r="C749" s="1" t="s">
        <v>793</v>
      </c>
      <c r="D749" s="12" t="s">
        <v>1216</v>
      </c>
    </row>
    <row r="752" spans="2:13" x14ac:dyDescent="0.15">
      <c r="B752" s="1" t="s">
        <v>794</v>
      </c>
      <c r="C752" s="1" t="s">
        <v>795</v>
      </c>
    </row>
    <row r="753" spans="2:13" x14ac:dyDescent="0.15">
      <c r="C753" s="1" t="s">
        <v>796</v>
      </c>
    </row>
    <row r="756" spans="2:13" x14ac:dyDescent="0.15">
      <c r="B756" s="1" t="s">
        <v>88</v>
      </c>
      <c r="C756" s="1" t="s">
        <v>1129</v>
      </c>
      <c r="D756" s="1" t="b">
        <f>IF(1&gt;2,3)</f>
        <v>0</v>
      </c>
      <c r="E756" s="1">
        <f>IF(1&gt;2,3,4)</f>
        <v>4</v>
      </c>
      <c r="F756" s="1">
        <f>IF(B10,3)</f>
        <v>3</v>
      </c>
      <c r="G756" s="2">
        <f>IF(D7,#VALUE!, 3)</f>
        <v>3</v>
      </c>
      <c r="H756" s="2" t="str">
        <f>IF(ISERROR(B8/B7),"error detected")</f>
        <v>error detected</v>
      </c>
      <c r="I756" s="2">
        <f>IF(ISERROR(B8/B8),1,IF(3&gt;4,2,IF(B8&gt;B7,3,-1)))</f>
        <v>3</v>
      </c>
      <c r="J756" s="2" t="str">
        <f>IF(ISERROR((B9+B8)/(B7*C8)),"error detected")</f>
        <v>error detected</v>
      </c>
      <c r="K756" s="2" t="b">
        <f>IF(B7*B8/C8*C11&gt;0,B16,B17)</f>
        <v>0</v>
      </c>
      <c r="L756" s="2" t="e">
        <f>IF(AA11,1)</f>
        <v>#NAME?</v>
      </c>
      <c r="M756" s="2" t="str">
        <f>IF("tRue", "A", "B")</f>
        <v>A</v>
      </c>
    </row>
    <row r="757" spans="2:13" x14ac:dyDescent="0.15">
      <c r="C757" s="1" t="s">
        <v>1130</v>
      </c>
      <c r="D757" s="1" t="b">
        <v>0</v>
      </c>
      <c r="E757" s="1">
        <v>4</v>
      </c>
      <c r="F757" s="1">
        <v>3</v>
      </c>
      <c r="G757" s="2">
        <v>3</v>
      </c>
      <c r="H757" s="2" t="s">
        <v>89</v>
      </c>
      <c r="I757" s="2">
        <v>3</v>
      </c>
      <c r="J757" s="2" t="s">
        <v>89</v>
      </c>
      <c r="K757" s="2" t="b">
        <v>0</v>
      </c>
      <c r="L757" s="2" t="e">
        <v>#NAME?</v>
      </c>
      <c r="M757" s="2" t="s">
        <v>1200</v>
      </c>
    </row>
    <row r="760" spans="2:13" x14ac:dyDescent="0.15">
      <c r="B760" s="1" t="s">
        <v>1221</v>
      </c>
      <c r="C760" s="1" t="s">
        <v>2</v>
      </c>
      <c r="D760" s="1">
        <v>4</v>
      </c>
      <c r="E760" s="1">
        <v>-1</v>
      </c>
      <c r="F760" s="1">
        <v>0</v>
      </c>
      <c r="G760" s="2">
        <v>0.88</v>
      </c>
      <c r="H760" s="2">
        <v>-0.88</v>
      </c>
      <c r="I760" s="2">
        <v>1</v>
      </c>
      <c r="J760" s="2">
        <v>-1</v>
      </c>
      <c r="K760" s="2" t="e">
        <v>#NUM!</v>
      </c>
    </row>
    <row r="761" spans="2:13" x14ac:dyDescent="0.15">
      <c r="C761" s="1" t="s">
        <v>0</v>
      </c>
      <c r="D761" s="1">
        <v>4</v>
      </c>
      <c r="E761" s="1">
        <v>-1</v>
      </c>
      <c r="F761" s="1">
        <v>0</v>
      </c>
      <c r="G761" s="2">
        <v>0.88</v>
      </c>
      <c r="H761" s="2">
        <v>-0.88</v>
      </c>
      <c r="I761" s="2">
        <v>1</v>
      </c>
      <c r="J761" s="2">
        <v>-1</v>
      </c>
      <c r="K761" s="2" t="e">
        <v>#NUM!</v>
      </c>
    </row>
    <row r="764" spans="2:13" x14ac:dyDescent="0.15">
      <c r="B764" s="1" t="s">
        <v>1222</v>
      </c>
      <c r="C764" s="1" t="s">
        <v>2</v>
      </c>
      <c r="D764" s="1">
        <v>3</v>
      </c>
      <c r="E764" s="1">
        <v>0</v>
      </c>
      <c r="F764" s="1">
        <v>4</v>
      </c>
      <c r="G764" s="2">
        <v>14</v>
      </c>
      <c r="H764" s="2">
        <v>-0.88</v>
      </c>
      <c r="I764" s="2">
        <v>0</v>
      </c>
      <c r="J764" s="2">
        <v>0</v>
      </c>
      <c r="K764" s="2" t="e">
        <v>#NUM!</v>
      </c>
    </row>
    <row r="765" spans="2:13" x14ac:dyDescent="0.15">
      <c r="C765" s="1" t="s">
        <v>0</v>
      </c>
      <c r="D765" s="1">
        <v>3</v>
      </c>
      <c r="E765" s="1">
        <v>0</v>
      </c>
      <c r="F765" s="1">
        <v>4</v>
      </c>
      <c r="G765" s="2">
        <v>14</v>
      </c>
      <c r="H765" s="2">
        <v>-0.88</v>
      </c>
      <c r="I765" s="2">
        <v>0</v>
      </c>
      <c r="J765" s="2">
        <v>0</v>
      </c>
      <c r="K765" s="2" t="e">
        <v>#NUM!</v>
      </c>
    </row>
    <row r="768" spans="2:13" x14ac:dyDescent="0.15">
      <c r="B768" s="1" t="s">
        <v>797</v>
      </c>
      <c r="C768" s="1" t="s">
        <v>798</v>
      </c>
      <c r="D768" s="1">
        <f>INDEX(B14:C15,2,2)</f>
        <v>-1.0000100000000001</v>
      </c>
      <c r="E768" s="1" t="e">
        <f>INDEX(B14:C15,D7,2)</f>
        <v>#VALUE!</v>
      </c>
    </row>
    <row r="769" spans="2:6" x14ac:dyDescent="0.15">
      <c r="C769" s="1" t="s">
        <v>799</v>
      </c>
      <c r="D769" s="1">
        <v>-1.0000100000000001</v>
      </c>
      <c r="E769" s="1" t="e">
        <v>#VALUE!</v>
      </c>
    </row>
    <row r="772" spans="2:6" x14ac:dyDescent="0.15">
      <c r="B772" s="1" t="s">
        <v>800</v>
      </c>
      <c r="C772" s="1" t="s">
        <v>801</v>
      </c>
      <c r="D772" s="1">
        <f ca="1">INDIRECT("B9")</f>
        <v>2</v>
      </c>
      <c r="E772" s="1">
        <f ca="1">INDIRECT("$B$9")</f>
        <v>2</v>
      </c>
      <c r="F772" s="1" t="e">
        <f ca="1">INDIRECT(D10)</f>
        <v>#REF!</v>
      </c>
    </row>
    <row r="773" spans="2:6" x14ac:dyDescent="0.15">
      <c r="C773" s="1" t="s">
        <v>802</v>
      </c>
      <c r="D773" s="1">
        <v>2</v>
      </c>
      <c r="E773" s="1">
        <v>2</v>
      </c>
      <c r="F773" s="1" t="e">
        <v>#REF!</v>
      </c>
    </row>
    <row r="776" spans="2:6" x14ac:dyDescent="0.15">
      <c r="B776" s="1" t="s">
        <v>803</v>
      </c>
      <c r="C776" s="1" t="s">
        <v>804</v>
      </c>
    </row>
    <row r="777" spans="2:6" x14ac:dyDescent="0.15">
      <c r="C777" s="1" t="s">
        <v>805</v>
      </c>
    </row>
    <row r="780" spans="2:6" x14ac:dyDescent="0.15">
      <c r="B780" s="1" t="s">
        <v>806</v>
      </c>
      <c r="C780" s="1" t="s">
        <v>807</v>
      </c>
    </row>
    <row r="781" spans="2:6" x14ac:dyDescent="0.15">
      <c r="C781" s="1" t="s">
        <v>808</v>
      </c>
    </row>
    <row r="784" spans="2:6" x14ac:dyDescent="0.15">
      <c r="B784" s="1" t="s">
        <v>809</v>
      </c>
      <c r="C784" s="1" t="s">
        <v>810</v>
      </c>
    </row>
    <row r="785" spans="2:15" x14ac:dyDescent="0.15">
      <c r="C785" s="1" t="s">
        <v>811</v>
      </c>
    </row>
    <row r="788" spans="2:15" x14ac:dyDescent="0.15">
      <c r="B788" s="1" t="s">
        <v>812</v>
      </c>
      <c r="C788" s="1" t="s">
        <v>813</v>
      </c>
      <c r="D788" s="1">
        <f>INT(B7)</f>
        <v>0</v>
      </c>
      <c r="E788" s="1">
        <f>INT(B14)</f>
        <v>-2</v>
      </c>
      <c r="F788" s="1">
        <f>INT(B16)</f>
        <v>1</v>
      </c>
      <c r="G788" s="2" t="e">
        <f>INT(B18)</f>
        <v>#VALUE!</v>
      </c>
      <c r="H788" s="2">
        <f>INT(C9)</f>
        <v>1</v>
      </c>
      <c r="I788" s="2">
        <f>INT(C17)</f>
        <v>-1</v>
      </c>
      <c r="J788" s="2">
        <f>INT(E14)</f>
        <v>0</v>
      </c>
      <c r="K788" s="2" t="e">
        <f>INT(E7)</f>
        <v>#VALUE!</v>
      </c>
      <c r="L788" s="2">
        <f>INT(F10)</f>
        <v>0</v>
      </c>
      <c r="M788" s="2">
        <f>INT(J8:M8)</f>
        <v>3</v>
      </c>
      <c r="N788" s="2">
        <f>INT(M786:M789)</f>
        <v>3</v>
      </c>
      <c r="O788" s="2" t="e">
        <f>INT(N8:O9)</f>
        <v>#VALUE!</v>
      </c>
    </row>
    <row r="789" spans="2:15" x14ac:dyDescent="0.15">
      <c r="C789" s="1" t="s">
        <v>814</v>
      </c>
      <c r="D789" s="1">
        <v>0</v>
      </c>
      <c r="E789" s="1">
        <v>-2</v>
      </c>
      <c r="F789" s="1">
        <v>1</v>
      </c>
      <c r="G789" s="2" t="e">
        <v>#VALUE!</v>
      </c>
      <c r="H789" s="2">
        <v>1</v>
      </c>
      <c r="I789" s="2">
        <v>-1</v>
      </c>
      <c r="J789" s="2">
        <v>0</v>
      </c>
      <c r="K789" s="2" t="e">
        <v>#VALUE!</v>
      </c>
      <c r="L789" s="2">
        <v>0</v>
      </c>
      <c r="M789" s="2">
        <v>3</v>
      </c>
      <c r="N789" s="2">
        <v>3</v>
      </c>
      <c r="O789" s="2" t="e">
        <v>#VALUE!</v>
      </c>
    </row>
    <row r="792" spans="2:15" x14ac:dyDescent="0.15">
      <c r="B792" s="1" t="s">
        <v>815</v>
      </c>
      <c r="C792" s="1" t="s">
        <v>816</v>
      </c>
      <c r="D792" s="65">
        <f>INTERCEPT(K7:K10,L7:L10)</f>
        <v>-3.9545123624894707E-2</v>
      </c>
      <c r="E792" s="65">
        <f>INTERCEPT(L7:L10,K7:K10)</f>
        <v>0.25094999999999956</v>
      </c>
    </row>
    <row r="793" spans="2:15" x14ac:dyDescent="0.15">
      <c r="C793" s="1" t="s">
        <v>817</v>
      </c>
      <c r="D793" s="66">
        <v>-3.9545123624894707E-2</v>
      </c>
      <c r="E793" s="66">
        <v>0.25094999999999956</v>
      </c>
    </row>
    <row r="796" spans="2:15" x14ac:dyDescent="0.15">
      <c r="B796" s="1" t="s">
        <v>818</v>
      </c>
      <c r="C796" s="1" t="s">
        <v>533</v>
      </c>
      <c r="D796" s="56">
        <f>IPMT(C8, H7, J7*J7, B13)</f>
        <v>5.0062750305407844E-3</v>
      </c>
      <c r="E796" s="55">
        <f>IPMT(C8, H7, H12, H12*I12)</f>
        <v>-2.4697723375626537</v>
      </c>
    </row>
    <row r="797" spans="2:15" x14ac:dyDescent="0.15">
      <c r="C797" s="1" t="s">
        <v>534</v>
      </c>
      <c r="D797" s="49">
        <v>5.0062750000000001E-3</v>
      </c>
      <c r="E797" s="54">
        <v>-2.46977234</v>
      </c>
    </row>
    <row r="800" spans="2:15" x14ac:dyDescent="0.15">
      <c r="B800" s="1" t="s">
        <v>535</v>
      </c>
      <c r="C800" s="1" t="s">
        <v>536</v>
      </c>
      <c r="D800" s="53">
        <f>TRUNC(IRR(AL7:AL11),4)</f>
        <v>-7.6799999999999993E-2</v>
      </c>
      <c r="E800" s="53">
        <f>TRUNC(IRR(AL7:AL12),4)</f>
        <v>5.3800000000000001E-2</v>
      </c>
      <c r="F800" s="53">
        <f>TRUNC(IRR(AL7:AL9, -10%),4)</f>
        <v>-0.44350000000000001</v>
      </c>
    </row>
    <row r="801" spans="2:12" x14ac:dyDescent="0.15">
      <c r="C801" s="1" t="s">
        <v>537</v>
      </c>
      <c r="D801" s="53">
        <v>-7.6799999999999993E-2</v>
      </c>
      <c r="E801" s="53">
        <v>5.3800000000000001E-2</v>
      </c>
      <c r="F801" s="53">
        <v>-0.44350000000000001</v>
      </c>
    </row>
    <row r="804" spans="2:12" x14ac:dyDescent="0.15">
      <c r="B804" s="1" t="s">
        <v>538</v>
      </c>
      <c r="C804" s="1" t="s">
        <v>539</v>
      </c>
      <c r="D804" s="1" t="b">
        <f>ISBLANK(B7)</f>
        <v>0</v>
      </c>
      <c r="E804" s="1" t="b">
        <f>ISBLANK(B11)</f>
        <v>0</v>
      </c>
      <c r="F804" s="1" t="b">
        <f>ISBLANK(B17)</f>
        <v>0</v>
      </c>
      <c r="G804" s="2" t="b">
        <f>ISBLANK(D8)</f>
        <v>1</v>
      </c>
      <c r="H804" s="2" t="b">
        <f>ISBLANK(E7)</f>
        <v>0</v>
      </c>
      <c r="I804" s="2" t="b">
        <f>ISBLANK(F15)</f>
        <v>1</v>
      </c>
      <c r="J804" s="2" t="b">
        <f>ISBLANK(J14:K14)</f>
        <v>1</v>
      </c>
      <c r="K804" s="2" t="b">
        <f>ISBLANK(K13:L14)</f>
        <v>0</v>
      </c>
      <c r="L804" s="2" t="b">
        <f>ISBLANK(D7:D7)</f>
        <v>1</v>
      </c>
    </row>
    <row r="805" spans="2:12" x14ac:dyDescent="0.15">
      <c r="C805" s="1" t="s">
        <v>540</v>
      </c>
      <c r="D805" s="1" t="b">
        <v>0</v>
      </c>
      <c r="E805" s="1" t="b">
        <v>0</v>
      </c>
      <c r="F805" s="1" t="b">
        <v>0</v>
      </c>
      <c r="G805" s="2" t="b">
        <v>1</v>
      </c>
      <c r="H805" s="2" t="b">
        <v>0</v>
      </c>
      <c r="I805" s="2" t="b">
        <v>1</v>
      </c>
      <c r="J805" s="2" t="b">
        <v>1</v>
      </c>
      <c r="K805" s="2" t="b">
        <v>0</v>
      </c>
      <c r="L805" s="2" t="b">
        <v>1</v>
      </c>
    </row>
    <row r="808" spans="2:12" x14ac:dyDescent="0.15">
      <c r="B808" s="1" t="s">
        <v>541</v>
      </c>
      <c r="C808" s="1" t="s">
        <v>542</v>
      </c>
    </row>
    <row r="809" spans="2:12" x14ac:dyDescent="0.15">
      <c r="C809" s="1" t="s">
        <v>543</v>
      </c>
    </row>
    <row r="812" spans="2:12" x14ac:dyDescent="0.15">
      <c r="B812" s="1" t="s">
        <v>544</v>
      </c>
      <c r="C812" s="1" t="s">
        <v>545</v>
      </c>
      <c r="D812" s="1" t="b">
        <f>ISERROR(B7)</f>
        <v>0</v>
      </c>
      <c r="E812" s="1" t="b">
        <f>ISERROR(B17)</f>
        <v>0</v>
      </c>
      <c r="F812" s="1" t="b">
        <f>ISERROR(B8/C7)</f>
        <v>1</v>
      </c>
      <c r="G812" s="2" t="b">
        <f>ISERROR(C10:C13)</f>
        <v>1</v>
      </c>
      <c r="H812" s="2" t="b">
        <f>ISERROR(C16:E16)</f>
        <v>1</v>
      </c>
      <c r="I812" s="2" t="b">
        <f>ISERROR(F14)</f>
        <v>0</v>
      </c>
      <c r="J812" s="2" t="b">
        <f>ISERROR(I11:K11)</f>
        <v>0</v>
      </c>
      <c r="K812" s="2" t="b">
        <f>ISERROR(I810:I813)</f>
        <v>0</v>
      </c>
      <c r="L812" s="2" t="b">
        <f>ISERROR(H812)</f>
        <v>0</v>
      </c>
    </row>
    <row r="813" spans="2:12" x14ac:dyDescent="0.15">
      <c r="C813" s="1" t="s">
        <v>546</v>
      </c>
      <c r="D813" s="1" t="b">
        <v>0</v>
      </c>
      <c r="E813" s="1" t="b">
        <v>0</v>
      </c>
      <c r="F813" s="1" t="b">
        <v>1</v>
      </c>
      <c r="G813" s="2" t="b">
        <v>1</v>
      </c>
      <c r="H813" s="2" t="b">
        <v>1</v>
      </c>
      <c r="I813" s="2" t="b">
        <v>0</v>
      </c>
      <c r="J813" s="2" t="b">
        <v>0</v>
      </c>
      <c r="K813" s="2" t="b">
        <v>0</v>
      </c>
      <c r="L813" s="2" t="b">
        <v>0</v>
      </c>
    </row>
    <row r="816" spans="2:12" x14ac:dyDescent="0.15">
      <c r="B816" s="1" t="s">
        <v>547</v>
      </c>
      <c r="C816" s="1" t="s">
        <v>548</v>
      </c>
      <c r="D816" s="1" t="b">
        <f>ISLOGICAL(B7)</f>
        <v>0</v>
      </c>
      <c r="E816" s="1" t="b">
        <f>ISLOGICAL(B16)</f>
        <v>1</v>
      </c>
      <c r="F816" s="1" t="b">
        <f>ISLOGICAL(B17)</f>
        <v>1</v>
      </c>
      <c r="G816" s="2" t="b">
        <f>ISLOGICAL(B18)</f>
        <v>0</v>
      </c>
      <c r="H816" s="2" t="b">
        <f>ISLOGICAL(B19)</f>
        <v>0</v>
      </c>
      <c r="I816" s="2" t="b">
        <f>ISLOGICAL(C18)</f>
        <v>0</v>
      </c>
      <c r="J816" s="2" t="b">
        <f>ISLOGICAL(TRUE())</f>
        <v>1</v>
      </c>
      <c r="K816" s="2" t="b">
        <f>ISLOGICAL(TRUE)</f>
        <v>1</v>
      </c>
      <c r="L816" s="2" t="b">
        <f>ISLOGICAL(B16:B17)</f>
        <v>0</v>
      </c>
    </row>
    <row r="817" spans="2:17" x14ac:dyDescent="0.15">
      <c r="C817" s="1" t="s">
        <v>549</v>
      </c>
      <c r="D817" s="1" t="b">
        <v>0</v>
      </c>
      <c r="E817" s="1" t="b">
        <v>1</v>
      </c>
      <c r="F817" s="1" t="b">
        <v>1</v>
      </c>
      <c r="G817" s="1" t="b">
        <v>0</v>
      </c>
      <c r="H817" s="1" t="b">
        <v>0</v>
      </c>
      <c r="I817" s="1" t="b">
        <v>0</v>
      </c>
      <c r="J817" s="1" t="b">
        <v>1</v>
      </c>
      <c r="K817" s="1" t="b">
        <v>1</v>
      </c>
      <c r="L817" s="1" t="b">
        <v>0</v>
      </c>
    </row>
    <row r="820" spans="2:17" x14ac:dyDescent="0.15">
      <c r="B820" s="1" t="s">
        <v>550</v>
      </c>
      <c r="C820" s="1" t="s">
        <v>551</v>
      </c>
      <c r="D820" s="1" t="b">
        <f>ISNA(#N/A)</f>
        <v>1</v>
      </c>
      <c r="E820" s="1" t="b">
        <f>ISNA(42)</f>
        <v>0</v>
      </c>
      <c r="F820" s="1" t="b">
        <f>ISNA(AA13)</f>
        <v>1</v>
      </c>
      <c r="G820" s="2" t="b">
        <f>ISNA(AA8)</f>
        <v>0</v>
      </c>
      <c r="H820" s="2" t="b">
        <f>ISNA(AA14)</f>
        <v>0</v>
      </c>
      <c r="I820" s="2" t="b">
        <f>ISNA(B16)</f>
        <v>0</v>
      </c>
    </row>
    <row r="821" spans="2:17" x14ac:dyDescent="0.15">
      <c r="C821" s="1" t="s">
        <v>552</v>
      </c>
      <c r="D821" s="1" t="b">
        <v>1</v>
      </c>
      <c r="E821" s="1" t="b">
        <v>0</v>
      </c>
      <c r="F821" s="1" t="b">
        <v>1</v>
      </c>
      <c r="G821" s="2" t="b">
        <v>0</v>
      </c>
      <c r="H821" s="2" t="b">
        <v>0</v>
      </c>
      <c r="I821" s="2" t="b">
        <v>0</v>
      </c>
    </row>
    <row r="824" spans="2:17" x14ac:dyDescent="0.15">
      <c r="B824" s="1" t="s">
        <v>553</v>
      </c>
      <c r="C824" s="1" t="s">
        <v>554</v>
      </c>
      <c r="D824" s="1" t="b">
        <f>ISNONTEXT(1)</f>
        <v>1</v>
      </c>
      <c r="E824" s="1" t="b">
        <f>ISNONTEXT(TRUE)</f>
        <v>1</v>
      </c>
      <c r="F824" s="2" t="b">
        <f>ISNONTEXT("1")</f>
        <v>0</v>
      </c>
      <c r="G824" s="1" t="b">
        <f>ISNONTEXT("true")</f>
        <v>0</v>
      </c>
      <c r="H824" s="2" t="b">
        <f>ISNONTEXT(B7)</f>
        <v>1</v>
      </c>
      <c r="I824" s="2" t="b">
        <f>ISNONTEXT(B18)</f>
        <v>0</v>
      </c>
      <c r="J824" s="2" t="b">
        <f>ISNONTEXT(F12)</f>
        <v>0</v>
      </c>
      <c r="K824" s="2" t="b">
        <f>ISNONTEXT(B18:B19)</f>
        <v>1</v>
      </c>
      <c r="L824" s="2" t="b">
        <f>ISNONTEXT(D7)</f>
        <v>1</v>
      </c>
    </row>
    <row r="825" spans="2:17" x14ac:dyDescent="0.15">
      <c r="C825" s="1" t="s">
        <v>555</v>
      </c>
      <c r="D825" s="1" t="b">
        <v>1</v>
      </c>
      <c r="E825" s="1" t="b">
        <v>1</v>
      </c>
      <c r="F825" s="1" t="b">
        <v>0</v>
      </c>
      <c r="G825" s="1" t="b">
        <v>0</v>
      </c>
      <c r="H825" s="1" t="b">
        <v>1</v>
      </c>
      <c r="I825" s="1" t="b">
        <v>0</v>
      </c>
      <c r="J825" s="1" t="b">
        <v>0</v>
      </c>
      <c r="K825" s="1" t="b">
        <v>1</v>
      </c>
      <c r="L825" s="2" t="b">
        <v>1</v>
      </c>
    </row>
    <row r="828" spans="2:17" x14ac:dyDescent="0.15">
      <c r="B828" s="1" t="s">
        <v>556</v>
      </c>
      <c r="C828" s="1" t="s">
        <v>557</v>
      </c>
      <c r="D828" s="1" t="b">
        <f>ISNUMBER(0)</f>
        <v>1</v>
      </c>
      <c r="E828" s="1" t="b">
        <f>ISNUMBER("a")</f>
        <v>0</v>
      </c>
      <c r="F828" s="1" t="b">
        <f>ISNUMBER(TRUE)</f>
        <v>0</v>
      </c>
      <c r="G828" s="2" t="b">
        <f>ISNUMBER(B7)</f>
        <v>1</v>
      </c>
      <c r="H828" s="2" t="b">
        <f>ISNUMBER(B18)</f>
        <v>0</v>
      </c>
      <c r="I828" s="2" t="b">
        <f>ISNUMBER(B16)</f>
        <v>0</v>
      </c>
      <c r="J828" s="2" t="b">
        <f>ISNUMBER(C10)</f>
        <v>1</v>
      </c>
      <c r="K828" s="2" t="b">
        <f>ISNUMBER(D7)</f>
        <v>0</v>
      </c>
      <c r="L828" s="2" t="b">
        <f>ISNUMBER(E7)</f>
        <v>0</v>
      </c>
      <c r="M828" s="2" t="b">
        <f>ISNUMBER(E15)</f>
        <v>0</v>
      </c>
      <c r="N828" s="2" t="b">
        <f>ISNUMBER(F7)</f>
        <v>1</v>
      </c>
      <c r="O828" s="2" t="b">
        <f>ISNUMBER(F13)</f>
        <v>0</v>
      </c>
      <c r="P828" s="2" t="b">
        <f>ISNUMBER(G7:J7)</f>
        <v>0</v>
      </c>
      <c r="Q828" s="2" t="b">
        <f>ISNUMBER(K7:K9)</f>
        <v>0</v>
      </c>
    </row>
    <row r="829" spans="2:17" x14ac:dyDescent="0.15">
      <c r="C829" s="1" t="s">
        <v>558</v>
      </c>
      <c r="D829" s="1" t="b">
        <v>1</v>
      </c>
      <c r="E829" s="2" t="b">
        <v>0</v>
      </c>
      <c r="F829" s="2" t="b">
        <v>0</v>
      </c>
      <c r="G829" s="1" t="b">
        <v>1</v>
      </c>
      <c r="H829" s="2" t="b">
        <v>0</v>
      </c>
      <c r="I829" s="2" t="b">
        <v>0</v>
      </c>
      <c r="J829" s="1" t="b">
        <v>1</v>
      </c>
      <c r="K829" s="2" t="b">
        <v>0</v>
      </c>
      <c r="L829" s="2" t="b">
        <v>0</v>
      </c>
      <c r="M829" s="2" t="b">
        <v>0</v>
      </c>
      <c r="N829" s="1" t="b">
        <v>1</v>
      </c>
      <c r="O829" s="2" t="b">
        <v>0</v>
      </c>
      <c r="P829" s="2" t="b">
        <v>0</v>
      </c>
      <c r="Q829" s="2" t="b">
        <v>0</v>
      </c>
    </row>
    <row r="832" spans="2:17" x14ac:dyDescent="0.15">
      <c r="B832" s="1" t="s">
        <v>559</v>
      </c>
      <c r="C832" s="1" t="s">
        <v>560</v>
      </c>
    </row>
    <row r="833" spans="2:13" x14ac:dyDescent="0.15">
      <c r="C833" s="1" t="s">
        <v>561</v>
      </c>
    </row>
    <row r="836" spans="2:13" x14ac:dyDescent="0.15">
      <c r="B836" s="1" t="s">
        <v>562</v>
      </c>
      <c r="C836" s="1" t="s">
        <v>563</v>
      </c>
      <c r="D836" s="1" t="b">
        <f>ISREF(0)</f>
        <v>0</v>
      </c>
      <c r="E836" s="1" t="b">
        <f>ISREF("a17")</f>
        <v>0</v>
      </c>
      <c r="F836" s="2" t="b">
        <f>ISREF(TRUE)</f>
        <v>0</v>
      </c>
      <c r="G836" s="2" t="b">
        <f>ISREF(B7)</f>
        <v>1</v>
      </c>
      <c r="H836" s="2" t="b">
        <f>ISREF(G7:G9)</f>
        <v>1</v>
      </c>
      <c r="I836" s="2" t="b">
        <f>ISREF(G7:I9)</f>
        <v>1</v>
      </c>
      <c r="J836" s="2" t="b">
        <f>ISREF(D7)</f>
        <v>1</v>
      </c>
      <c r="K836" s="2" t="b">
        <f>ISREF("")</f>
        <v>0</v>
      </c>
    </row>
    <row r="837" spans="2:13" x14ac:dyDescent="0.15">
      <c r="C837" s="1" t="s">
        <v>564</v>
      </c>
      <c r="D837" s="1" t="b">
        <v>0</v>
      </c>
      <c r="E837" s="1" t="b">
        <v>0</v>
      </c>
      <c r="F837" s="1" t="b">
        <v>0</v>
      </c>
      <c r="G837" s="2" t="b">
        <v>1</v>
      </c>
      <c r="H837" s="2" t="b">
        <v>1</v>
      </c>
      <c r="I837" s="2" t="b">
        <v>1</v>
      </c>
      <c r="J837" s="2" t="b">
        <v>1</v>
      </c>
      <c r="K837" s="1" t="b">
        <v>0</v>
      </c>
    </row>
    <row r="840" spans="2:13" x14ac:dyDescent="0.15">
      <c r="B840" s="1" t="s">
        <v>565</v>
      </c>
      <c r="C840" s="1" t="s">
        <v>566</v>
      </c>
      <c r="D840" s="1" t="b">
        <f>ISTEXT(1)</f>
        <v>0</v>
      </c>
      <c r="E840" s="1" t="b">
        <f>ISTEXT(TRUE)</f>
        <v>0</v>
      </c>
      <c r="F840" s="2" t="b">
        <f>ISTEXT("1")</f>
        <v>1</v>
      </c>
      <c r="G840" s="1" t="b">
        <f>ISTEXT("true")</f>
        <v>1</v>
      </c>
      <c r="H840" s="2" t="b">
        <f>ISTEXT(B23)</f>
        <v>1</v>
      </c>
      <c r="I840" s="2" t="b">
        <f>ISTEXT(B34)</f>
        <v>0</v>
      </c>
      <c r="J840" s="2" t="b">
        <f>ISTEXT(F28)</f>
        <v>1</v>
      </c>
      <c r="K840" s="2" t="b">
        <f>ISTEXT(B34:B35)</f>
        <v>0</v>
      </c>
      <c r="L840" s="2" t="b">
        <f>ISTEXT(D23)</f>
        <v>0</v>
      </c>
    </row>
    <row r="841" spans="2:13" x14ac:dyDescent="0.15">
      <c r="C841" s="1" t="s">
        <v>567</v>
      </c>
      <c r="D841" s="1" t="b">
        <v>0</v>
      </c>
      <c r="E841" s="1" t="b">
        <v>0</v>
      </c>
      <c r="F841" s="1" t="b">
        <v>1</v>
      </c>
      <c r="G841" s="1" t="b">
        <v>1</v>
      </c>
      <c r="H841" s="1" t="b">
        <v>1</v>
      </c>
      <c r="I841" s="1" t="b">
        <v>0</v>
      </c>
      <c r="J841" s="1" t="b">
        <v>1</v>
      </c>
      <c r="K841" s="1" t="b">
        <v>0</v>
      </c>
      <c r="L841" s="1" t="b">
        <v>0</v>
      </c>
    </row>
    <row r="844" spans="2:13" x14ac:dyDescent="0.15">
      <c r="B844" s="1" t="s">
        <v>568</v>
      </c>
      <c r="C844" s="1" t="s">
        <v>569</v>
      </c>
    </row>
    <row r="845" spans="2:13" x14ac:dyDescent="0.15">
      <c r="C845" s="1" t="s">
        <v>570</v>
      </c>
    </row>
    <row r="848" spans="2:13" x14ac:dyDescent="0.15">
      <c r="B848" s="1" t="s">
        <v>571</v>
      </c>
      <c r="C848" s="1" t="s">
        <v>572</v>
      </c>
      <c r="D848" s="1">
        <f>LARGE(B7:C14,1)</f>
        <v>9999999999</v>
      </c>
      <c r="E848" s="1">
        <f>LARGE(B8:B10,3)</f>
        <v>1</v>
      </c>
      <c r="F848" s="1">
        <f>LARGE(B9:B16,4)</f>
        <v>-1</v>
      </c>
      <c r="G848" s="2">
        <f>LARGE(TRUE,1)</f>
        <v>1</v>
      </c>
      <c r="H848" s="2">
        <f>LARGE("2.3",1)</f>
        <v>2.2999999999999998</v>
      </c>
      <c r="I848" s="2" t="e">
        <f>LARGE(E8:E12,3)</f>
        <v>#NUM!</v>
      </c>
      <c r="J848" s="2" t="e">
        <f>LARGE(D7:D8,1)</f>
        <v>#NUM!</v>
      </c>
      <c r="K848" s="2">
        <f>LARGE(C7:E9,3)</f>
        <v>0</v>
      </c>
      <c r="L848" s="2">
        <f>LARGE(E8:F10,2)</f>
        <v>1</v>
      </c>
      <c r="M848" s="2">
        <f>LARGE(F10:I13,3)</f>
        <v>345</v>
      </c>
    </row>
    <row r="849" spans="2:13" x14ac:dyDescent="0.15">
      <c r="C849" s="1" t="s">
        <v>573</v>
      </c>
      <c r="D849" s="1">
        <v>9999999999</v>
      </c>
      <c r="E849" s="1">
        <v>1</v>
      </c>
      <c r="F849" s="1">
        <v>-1</v>
      </c>
      <c r="G849" s="2">
        <v>1</v>
      </c>
      <c r="H849" s="2">
        <v>2.2999999999999998</v>
      </c>
      <c r="I849" s="2" t="e">
        <v>#NUM!</v>
      </c>
      <c r="J849" s="2" t="e">
        <v>#NUM!</v>
      </c>
      <c r="K849" s="2">
        <v>0</v>
      </c>
      <c r="L849" s="2">
        <v>1</v>
      </c>
      <c r="M849" s="2">
        <v>345</v>
      </c>
    </row>
    <row r="852" spans="2:13" x14ac:dyDescent="0.15">
      <c r="B852" s="1" t="s">
        <v>574</v>
      </c>
      <c r="C852" s="1" t="s">
        <v>575</v>
      </c>
    </row>
    <row r="853" spans="2:13" x14ac:dyDescent="0.15">
      <c r="C853" s="1" t="s">
        <v>576</v>
      </c>
    </row>
    <row r="856" spans="2:13" x14ac:dyDescent="0.15">
      <c r="B856" s="1" t="s">
        <v>577</v>
      </c>
      <c r="C856" s="1" t="s">
        <v>578</v>
      </c>
      <c r="D856" s="1" t="str">
        <f>LEFT("a string",0)</f>
        <v/>
      </c>
      <c r="E856" s="1" t="str">
        <f>LEFT("a string","6")</f>
        <v>a stri</v>
      </c>
      <c r="F856" s="1" t="str">
        <f>LEFT("a string",10)</f>
        <v>a string</v>
      </c>
      <c r="G856" s="1" t="str">
        <f>LEFT("a string",B9)</f>
        <v xml:space="preserve">a </v>
      </c>
      <c r="H856" s="2" t="str">
        <f>LEFT(E12, E17)</f>
        <v>no</v>
      </c>
      <c r="I856" s="2" t="str">
        <f>LEFT(TRUE,2)</f>
        <v>TR</v>
      </c>
      <c r="J856" s="2" t="e">
        <f>LEFT(G7:H9,H10)</f>
        <v>#VALUE!</v>
      </c>
      <c r="K856" s="2" t="str">
        <f>LEFT("a string", TRUE)</f>
        <v>a</v>
      </c>
    </row>
    <row r="857" spans="2:13" x14ac:dyDescent="0.15">
      <c r="C857" s="1" t="s">
        <v>579</v>
      </c>
      <c r="D857" s="1" t="s">
        <v>229</v>
      </c>
      <c r="E857" s="1" t="s">
        <v>92</v>
      </c>
      <c r="F857" s="1" t="s">
        <v>91</v>
      </c>
      <c r="G857" s="2" t="s">
        <v>90</v>
      </c>
      <c r="H857" s="2" t="s">
        <v>93</v>
      </c>
      <c r="I857" s="2" t="s">
        <v>95</v>
      </c>
      <c r="J857" s="2" t="e">
        <v>#VALUE!</v>
      </c>
      <c r="K857" s="2" t="s">
        <v>94</v>
      </c>
    </row>
    <row r="860" spans="2:13" x14ac:dyDescent="0.15">
      <c r="B860" s="1" t="s">
        <v>580</v>
      </c>
      <c r="C860" s="1" t="s">
        <v>581</v>
      </c>
    </row>
    <row r="861" spans="2:13" x14ac:dyDescent="0.15">
      <c r="C861" s="1" t="s">
        <v>582</v>
      </c>
    </row>
    <row r="864" spans="2:13" x14ac:dyDescent="0.15">
      <c r="B864" s="1" t="s">
        <v>583</v>
      </c>
      <c r="C864" s="1" t="s">
        <v>584</v>
      </c>
      <c r="D864" s="1">
        <f>LEN(B10)</f>
        <v>3</v>
      </c>
      <c r="E864" s="1">
        <f>LEN(F20)</f>
        <v>1</v>
      </c>
      <c r="F864" s="1">
        <f>LEN(D7)</f>
        <v>0</v>
      </c>
      <c r="G864" s="2">
        <f>LEN(E14)</f>
        <v>8</v>
      </c>
      <c r="H864" s="2">
        <f>LEN(G11)</f>
        <v>10</v>
      </c>
      <c r="I864" s="2">
        <f>LEN(H11:J11)</f>
        <v>3</v>
      </c>
      <c r="J864" s="2">
        <f>LEN(G863:G865)</f>
        <v>1</v>
      </c>
      <c r="K864" s="2" t="e">
        <f>LEN(K8:L10)</f>
        <v>#VALUE!</v>
      </c>
      <c r="L864" s="2" t="e">
        <f>LEN(AA12)</f>
        <v>#NUM!</v>
      </c>
    </row>
    <row r="865" spans="2:16" x14ac:dyDescent="0.15">
      <c r="C865" s="1" t="s">
        <v>585</v>
      </c>
      <c r="D865" s="1">
        <v>3</v>
      </c>
      <c r="E865" s="1">
        <v>1</v>
      </c>
      <c r="F865" s="1">
        <v>0</v>
      </c>
      <c r="G865" s="2">
        <v>8</v>
      </c>
      <c r="H865" s="2">
        <v>10</v>
      </c>
      <c r="I865" s="2">
        <v>3</v>
      </c>
      <c r="J865" s="2">
        <v>1</v>
      </c>
      <c r="K865" s="2" t="e">
        <v>#VALUE!</v>
      </c>
      <c r="L865" s="2" t="e">
        <v>#NUM!</v>
      </c>
    </row>
    <row r="868" spans="2:16" x14ac:dyDescent="0.15">
      <c r="B868" s="1" t="s">
        <v>586</v>
      </c>
      <c r="C868" s="1" t="s">
        <v>587</v>
      </c>
    </row>
    <row r="869" spans="2:16" x14ac:dyDescent="0.15">
      <c r="C869" s="1" t="s">
        <v>588</v>
      </c>
    </row>
    <row r="872" spans="2:16" x14ac:dyDescent="0.15">
      <c r="B872" s="1" t="s">
        <v>589</v>
      </c>
      <c r="C872" s="1" t="s">
        <v>590</v>
      </c>
    </row>
    <row r="873" spans="2:16" x14ac:dyDescent="0.15">
      <c r="C873" s="1" t="s">
        <v>591</v>
      </c>
    </row>
    <row r="876" spans="2:16" x14ac:dyDescent="0.15">
      <c r="B876" s="1" t="s">
        <v>592</v>
      </c>
      <c r="C876" s="1" t="s">
        <v>593</v>
      </c>
    </row>
    <row r="877" spans="2:16" x14ac:dyDescent="0.15">
      <c r="C877" s="1" t="s">
        <v>594</v>
      </c>
    </row>
    <row r="880" spans="2:16" x14ac:dyDescent="0.15">
      <c r="B880" s="1" t="s">
        <v>595</v>
      </c>
      <c r="C880" s="1" t="s">
        <v>596</v>
      </c>
      <c r="D880" s="1" t="e">
        <f>LN(B7)</f>
        <v>#NUM!</v>
      </c>
      <c r="E880" s="1">
        <f>LN(B8)</f>
        <v>0</v>
      </c>
      <c r="F880" s="1" t="e">
        <f>LN(B13)</f>
        <v>#NUM!</v>
      </c>
      <c r="G880" s="2">
        <f>LN(B16)</f>
        <v>0</v>
      </c>
      <c r="H880" s="2" t="e">
        <f>LN(B15)</f>
        <v>#NUM!</v>
      </c>
      <c r="I880" s="2" t="e">
        <f>LN(B18)</f>
        <v>#VALUE!</v>
      </c>
      <c r="J880" s="2">
        <f>LN(C9)</f>
        <v>9.5310179804324935E-2</v>
      </c>
      <c r="K880" s="2" t="e">
        <f>LN(E7)</f>
        <v>#VALUE!</v>
      </c>
      <c r="L880" s="2">
        <f>LN(E16)</f>
        <v>9.5310179804324935E-2</v>
      </c>
      <c r="M880" s="2" t="e">
        <f>LN(G13)</f>
        <v>#NUM!</v>
      </c>
      <c r="N880" s="2" t="e">
        <f>LN(K8:N8)</f>
        <v>#NUM!</v>
      </c>
      <c r="O880" s="2">
        <f>LN(M9:O9)</f>
        <v>6.1180971980413483</v>
      </c>
      <c r="P880" s="2">
        <f>LN(O878:O881)</f>
        <v>1.8112511328273146</v>
      </c>
    </row>
    <row r="881" spans="2:16" x14ac:dyDescent="0.15">
      <c r="C881" s="1" t="s">
        <v>597</v>
      </c>
      <c r="D881" s="1" t="e">
        <v>#NUM!</v>
      </c>
      <c r="E881" s="1">
        <v>0</v>
      </c>
      <c r="F881" s="1" t="e">
        <v>#NUM!</v>
      </c>
      <c r="G881" s="2">
        <v>0</v>
      </c>
      <c r="H881" s="2" t="e">
        <v>#NUM!</v>
      </c>
      <c r="I881" s="2" t="e">
        <v>#VALUE!</v>
      </c>
      <c r="J881" s="2">
        <v>9.5310179804324935E-2</v>
      </c>
      <c r="K881" s="2" t="e">
        <v>#VALUE!</v>
      </c>
      <c r="L881" s="2">
        <v>9.5310179804324935E-2</v>
      </c>
      <c r="M881" s="2" t="e">
        <v>#NUM!</v>
      </c>
      <c r="N881" s="2" t="e">
        <v>#NUM!</v>
      </c>
      <c r="O881" s="2">
        <v>6.1180971980413483</v>
      </c>
      <c r="P881" s="2">
        <v>1.8112511328273146</v>
      </c>
    </row>
    <row r="884" spans="2:16" x14ac:dyDescent="0.15">
      <c r="B884" s="1" t="s">
        <v>598</v>
      </c>
      <c r="C884" s="1" t="s">
        <v>599</v>
      </c>
      <c r="D884" s="1" t="e">
        <f>LOG(B7)</f>
        <v>#NUM!</v>
      </c>
      <c r="E884" s="1" t="e">
        <f>LOG(B7,2)</f>
        <v>#NUM!</v>
      </c>
      <c r="F884" s="1">
        <f>LOG(B8,2)</f>
        <v>0</v>
      </c>
      <c r="G884" s="2">
        <f>LOG(B10,534)</f>
        <v>1</v>
      </c>
      <c r="H884" s="2" t="e">
        <f>LOG(B12,20)</f>
        <v>#NUM!</v>
      </c>
      <c r="I884" s="2">
        <f>LOG(B11,12)</f>
        <v>9.2662840802510242</v>
      </c>
      <c r="J884" s="2">
        <f>LOG(C9,C10)</f>
        <v>9531.0656353805316</v>
      </c>
      <c r="K884" s="2" t="e">
        <f>LOG(F17,E15)</f>
        <v>#NUM!</v>
      </c>
      <c r="L884" s="2" t="e">
        <f>LOG(F15,F16)</f>
        <v>#NUM!</v>
      </c>
      <c r="M884" s="2">
        <f>LOG(B10,B9)</f>
        <v>9.0606959316875546</v>
      </c>
    </row>
    <row r="885" spans="2:16" x14ac:dyDescent="0.15">
      <c r="C885" s="1" t="s">
        <v>600</v>
      </c>
      <c r="D885" s="1" t="e">
        <v>#NUM!</v>
      </c>
      <c r="E885" s="1" t="e">
        <v>#NUM!</v>
      </c>
      <c r="F885" s="1">
        <v>0</v>
      </c>
      <c r="G885" s="2">
        <v>1</v>
      </c>
      <c r="H885" s="2" t="e">
        <v>#NUM!</v>
      </c>
      <c r="I885" s="2">
        <v>9.2662840802510242</v>
      </c>
      <c r="J885" s="2">
        <v>9531.0656353805316</v>
      </c>
      <c r="K885" s="2" t="e">
        <v>#NUM!</v>
      </c>
      <c r="L885" s="2" t="e">
        <v>#NUM!</v>
      </c>
      <c r="M885" s="2">
        <v>9.0606959316875546</v>
      </c>
    </row>
    <row r="888" spans="2:16" x14ac:dyDescent="0.15">
      <c r="B888" s="1" t="s">
        <v>601</v>
      </c>
      <c r="C888" s="1" t="s">
        <v>602</v>
      </c>
      <c r="D888" s="1" t="e">
        <f>LOG10(B7)</f>
        <v>#NUM!</v>
      </c>
      <c r="E888" s="1">
        <f>LOG10(B8)</f>
        <v>0</v>
      </c>
      <c r="F888" s="1">
        <f>LOG10(B10)</f>
        <v>2.7275412570285562</v>
      </c>
      <c r="G888" s="2" t="e">
        <f>LOG10(B13)</f>
        <v>#NUM!</v>
      </c>
      <c r="H888" s="2">
        <f>LOG10(B16)</f>
        <v>0</v>
      </c>
      <c r="I888" s="2" t="e">
        <f>LOG10(B17)</f>
        <v>#NUM!</v>
      </c>
      <c r="J888" s="2" t="e">
        <f>LOG10(B18)</f>
        <v>#VALUE!</v>
      </c>
      <c r="K888" s="2" t="e">
        <f>LOG10(E7)</f>
        <v>#VALUE!</v>
      </c>
      <c r="L888" s="2">
        <f>LOG10(E15)</f>
        <v>0</v>
      </c>
      <c r="M888" s="2">
        <f>LOG10(F13)</f>
        <v>0.47711980706897666</v>
      </c>
      <c r="N888" s="2">
        <f>LOG10(L9:N9)</f>
        <v>2.537819095073274</v>
      </c>
      <c r="O888" s="2">
        <f>LOG10(N887:N889)</f>
        <v>0.40446066078012233</v>
      </c>
    </row>
    <row r="889" spans="2:16" x14ac:dyDescent="0.15">
      <c r="C889" s="1" t="s">
        <v>603</v>
      </c>
      <c r="D889" s="1" t="e">
        <v>#NUM!</v>
      </c>
      <c r="E889" s="1">
        <v>0</v>
      </c>
      <c r="F889" s="1">
        <v>2.7275412570285562</v>
      </c>
      <c r="G889" s="2" t="e">
        <v>#NUM!</v>
      </c>
      <c r="H889" s="2">
        <v>0</v>
      </c>
      <c r="I889" s="2" t="e">
        <v>#NUM!</v>
      </c>
      <c r="J889" s="2" t="e">
        <v>#VALUE!</v>
      </c>
      <c r="K889" s="2" t="e">
        <v>#VALUE!</v>
      </c>
      <c r="L889" s="2">
        <v>0</v>
      </c>
      <c r="M889" s="2">
        <v>0.47711980706897666</v>
      </c>
      <c r="N889" s="2">
        <v>2.537819095073274</v>
      </c>
      <c r="O889" s="2">
        <v>0.40446066078012233</v>
      </c>
    </row>
    <row r="892" spans="2:16" x14ac:dyDescent="0.15">
      <c r="B892" s="1" t="s">
        <v>604</v>
      </c>
      <c r="C892" s="1" t="s">
        <v>605</v>
      </c>
    </row>
    <row r="893" spans="2:16" x14ac:dyDescent="0.15">
      <c r="C893" s="1" t="s">
        <v>606</v>
      </c>
    </row>
    <row r="896" spans="2:16" x14ac:dyDescent="0.15">
      <c r="B896" s="1" t="s">
        <v>607</v>
      </c>
      <c r="C896" s="1" t="s">
        <v>608</v>
      </c>
    </row>
    <row r="897" spans="2:16" x14ac:dyDescent="0.15">
      <c r="C897" s="1" t="s">
        <v>609</v>
      </c>
    </row>
    <row r="900" spans="2:16" x14ac:dyDescent="0.15">
      <c r="B900" s="1" t="s">
        <v>610</v>
      </c>
      <c r="C900" s="1" t="s">
        <v>611</v>
      </c>
    </row>
    <row r="901" spans="2:16" x14ac:dyDescent="0.15">
      <c r="C901" s="1" t="s">
        <v>612</v>
      </c>
    </row>
    <row r="904" spans="2:16" x14ac:dyDescent="0.15">
      <c r="B904" s="1" t="s">
        <v>613</v>
      </c>
      <c r="C904" s="1" t="s">
        <v>614</v>
      </c>
      <c r="D904" s="1" t="str">
        <f>LOOKUP(534,B6:B15,E6:E15)</f>
        <v xml:space="preserve">endsWithSpace </v>
      </c>
      <c r="E904" s="1">
        <f>LOOKUP("DOUBLE",C6:G6,C9:G9)</f>
        <v>1.1000000000000001</v>
      </c>
    </row>
    <row r="905" spans="2:16" x14ac:dyDescent="0.15">
      <c r="C905" s="1" t="s">
        <v>615</v>
      </c>
      <c r="D905" s="1" t="s">
        <v>1121</v>
      </c>
      <c r="E905" s="1">
        <v>1.1000000000000001</v>
      </c>
    </row>
    <row r="908" spans="2:16" x14ac:dyDescent="0.15">
      <c r="B908" s="1" t="s">
        <v>616</v>
      </c>
      <c r="C908" s="1" t="s">
        <v>617</v>
      </c>
      <c r="D908" s="1" t="str">
        <f>LOWER("ALL UPPER")</f>
        <v>all upper</v>
      </c>
      <c r="E908" s="1" t="str">
        <f>LOWER("MixedCase")</f>
        <v>mixedcase</v>
      </c>
      <c r="F908" s="1" t="str">
        <f>LOWER(B10)</f>
        <v>534</v>
      </c>
      <c r="G908" s="2" t="str">
        <f>LOWER(B16)</f>
        <v>true</v>
      </c>
      <c r="H908" s="2" t="str">
        <f>LOWER(B18)</f>
        <v>true</v>
      </c>
      <c r="I908" s="2" t="str">
        <f>LOWER(E11)</f>
        <v xml:space="preserve"> beginswithspace</v>
      </c>
      <c r="J908" s="2" t="str">
        <f>LOWER(E19)</f>
        <v>alph4num3ric</v>
      </c>
      <c r="K908" s="2" t="e">
        <f>LOWER(E11:G11)</f>
        <v>#VALUE!</v>
      </c>
      <c r="L908" s="2" t="e">
        <f>LOWER(F11:F14)</f>
        <v>#VALUE!</v>
      </c>
      <c r="M908" s="2" t="str">
        <f>LOWER(K7:M7)</f>
        <v>alphanum</v>
      </c>
      <c r="N908" s="2" t="str">
        <f>LOWER(M907:M909)</f>
        <v>alphanum</v>
      </c>
      <c r="O908" s="2" t="e">
        <f>LOWER(N8:O10)</f>
        <v>#VALUE!</v>
      </c>
      <c r="P908" s="2" t="e">
        <f>LOWER(AA8)</f>
        <v>#DIV/0!</v>
      </c>
    </row>
    <row r="909" spans="2:16" x14ac:dyDescent="0.15">
      <c r="C909" s="1" t="s">
        <v>618</v>
      </c>
      <c r="D909" s="1" t="s">
        <v>65</v>
      </c>
      <c r="E909" s="1" t="s">
        <v>66</v>
      </c>
      <c r="F909" s="1" t="s">
        <v>234</v>
      </c>
      <c r="G909" s="2" t="s">
        <v>67</v>
      </c>
      <c r="H909" s="2" t="s">
        <v>67</v>
      </c>
      <c r="I909" s="2" t="s">
        <v>68</v>
      </c>
      <c r="J909" s="2" t="s">
        <v>69</v>
      </c>
      <c r="K909" s="2" t="e">
        <v>#VALUE!</v>
      </c>
      <c r="L909" s="2" t="e">
        <v>#VALUE!</v>
      </c>
      <c r="M909" s="2" t="s">
        <v>1114</v>
      </c>
      <c r="N909" s="2" t="s">
        <v>1114</v>
      </c>
      <c r="O909" s="2" t="e">
        <v>#VALUE!</v>
      </c>
      <c r="P909" s="2" t="e">
        <v>#DIV/0!</v>
      </c>
    </row>
    <row r="912" spans="2:16" x14ac:dyDescent="0.15">
      <c r="B912" s="1" t="s">
        <v>619</v>
      </c>
      <c r="C912" s="1" t="s">
        <v>620</v>
      </c>
      <c r="D912" s="1">
        <f>MATCH(5,B7:B10)</f>
        <v>3</v>
      </c>
      <c r="E912" s="1">
        <f>MATCH(600, B7:B10)</f>
        <v>4</v>
      </c>
      <c r="F912" s="1" t="e">
        <f>MATCH(-5, B7:B10)</f>
        <v>#N/A</v>
      </c>
    </row>
    <row r="913" spans="2:12" x14ac:dyDescent="0.15">
      <c r="C913" s="1" t="s">
        <v>621</v>
      </c>
      <c r="D913" s="1">
        <v>3</v>
      </c>
      <c r="E913" s="1">
        <v>4</v>
      </c>
      <c r="F913" s="1" t="e">
        <v>#N/A</v>
      </c>
    </row>
    <row r="916" spans="2:12" x14ac:dyDescent="0.15">
      <c r="B916" s="1" t="s">
        <v>622</v>
      </c>
      <c r="C916" s="1" t="s">
        <v>623</v>
      </c>
      <c r="D916" s="1">
        <f>MAX(B7:B19)</f>
        <v>9999999999</v>
      </c>
      <c r="E916" s="1">
        <f>MAX(C7:E19)</f>
        <v>999999.99999000004</v>
      </c>
      <c r="F916" s="1">
        <f>MAX(C13:C15,E19,E17)</f>
        <v>-1.0000100000000001</v>
      </c>
      <c r="G916" s="2">
        <f>MAX(B16:B19)</f>
        <v>0</v>
      </c>
      <c r="H916" s="2">
        <f>MAX(B14:B16)</f>
        <v>-1</v>
      </c>
      <c r="I916" s="2">
        <f>MAX(D9:I12)</f>
        <v>9999999999</v>
      </c>
      <c r="J916" s="2">
        <f>MAX(G8:I9)</f>
        <v>5.6788999999999996</v>
      </c>
      <c r="K916" s="2">
        <f>MAX(F11,E11,E13:E15,H9:I11,L8)</f>
        <v>345</v>
      </c>
    </row>
    <row r="917" spans="2:12" x14ac:dyDescent="0.15">
      <c r="C917" s="1" t="s">
        <v>624</v>
      </c>
      <c r="D917" s="1">
        <v>9999999999</v>
      </c>
      <c r="E917" s="1">
        <v>999999.99999000004</v>
      </c>
      <c r="F917" s="1">
        <v>-1.0000100000000001</v>
      </c>
      <c r="G917" s="2">
        <v>0</v>
      </c>
      <c r="H917" s="2">
        <v>-1</v>
      </c>
      <c r="I917" s="2">
        <v>9999999999</v>
      </c>
      <c r="J917" s="2">
        <v>5.6788999999999996</v>
      </c>
      <c r="K917" s="2">
        <v>345</v>
      </c>
    </row>
    <row r="920" spans="2:12" x14ac:dyDescent="0.15">
      <c r="B920" s="1" t="s">
        <v>625</v>
      </c>
      <c r="C920" s="1" t="s">
        <v>339</v>
      </c>
      <c r="D920" s="1">
        <f>MAXA(B7:B10)</f>
        <v>534</v>
      </c>
      <c r="E920" s="1">
        <f>MAXA(C14:C17)</f>
        <v>-1.0000000000000001E-5</v>
      </c>
      <c r="F920" s="1">
        <f>MAXA(B14:B17)</f>
        <v>1</v>
      </c>
      <c r="G920" s="2">
        <f>MAXA(B11:B19,C13:C14,C10:D11,E10:E15)</f>
        <v>9999999999</v>
      </c>
      <c r="H920" s="2">
        <f>MAXA(E15:E17,C14,G9)</f>
        <v>2.3456000000000001</v>
      </c>
      <c r="I920" s="2">
        <f>MAXA(I8,G8:G9,F12)</f>
        <v>3.5</v>
      </c>
      <c r="J920" s="2">
        <f>MAXA(F14,E19,F12)</f>
        <v>0</v>
      </c>
    </row>
    <row r="921" spans="2:12" x14ac:dyDescent="0.15">
      <c r="C921" s="1" t="s">
        <v>340</v>
      </c>
      <c r="D921" s="1">
        <v>534</v>
      </c>
      <c r="E921" s="1">
        <v>-1.0000000000000001E-5</v>
      </c>
      <c r="F921" s="1">
        <v>1</v>
      </c>
      <c r="G921" s="2">
        <v>9999999999</v>
      </c>
      <c r="H921" s="2">
        <v>2.3456000000000001</v>
      </c>
      <c r="I921" s="2">
        <v>3.5</v>
      </c>
      <c r="J921" s="2">
        <v>0</v>
      </c>
    </row>
    <row r="924" spans="2:12" x14ac:dyDescent="0.15">
      <c r="B924" s="1" t="s">
        <v>341</v>
      </c>
      <c r="C924" s="1" t="s">
        <v>342</v>
      </c>
    </row>
    <row r="925" spans="2:12" x14ac:dyDescent="0.15">
      <c r="C925" s="1" t="s">
        <v>343</v>
      </c>
    </row>
    <row r="928" spans="2:12" x14ac:dyDescent="0.15">
      <c r="B928" s="1" t="s">
        <v>344</v>
      </c>
      <c r="C928" s="1" t="s">
        <v>345</v>
      </c>
      <c r="D928" s="1">
        <f>MEDIAN(B7:B9,B10:B12,B13:B15,B16:B18)</f>
        <v>0</v>
      </c>
      <c r="E928" s="1">
        <f>MEDIAN(B15:B17)</f>
        <v>-1</v>
      </c>
      <c r="F928" s="1">
        <f>MEDIAN(B16:D16)</f>
        <v>-1.1000000000000001</v>
      </c>
      <c r="G928" s="2">
        <f>MEDIAN(C7:D9)</f>
        <v>1.0000000000000001E-5</v>
      </c>
      <c r="H928" s="2" t="e">
        <f>MEDIAN(E7:E10)</f>
        <v>#NUM!</v>
      </c>
      <c r="I928" s="2" t="e">
        <f>MEDIAN(D9:D16)</f>
        <v>#NUM!</v>
      </c>
      <c r="J928" s="2">
        <f>MEDIAN("2",2)</f>
        <v>2</v>
      </c>
      <c r="K928" s="2">
        <f>MEDIAN(TRUE,2)</f>
        <v>1.5</v>
      </c>
      <c r="L928" s="2">
        <f>MEDIAN(E9:G10)</f>
        <v>2.3456000000000001</v>
      </c>
    </row>
    <row r="929" spans="2:13" x14ac:dyDescent="0.15">
      <c r="C929" s="1" t="s">
        <v>346</v>
      </c>
      <c r="D929" s="1">
        <v>0</v>
      </c>
      <c r="E929" s="1">
        <v>-1</v>
      </c>
      <c r="F929" s="1">
        <v>-1.1000000000000001</v>
      </c>
      <c r="G929" s="2">
        <v>1.0000000000000001E-5</v>
      </c>
      <c r="H929" s="2" t="e">
        <v>#NUM!</v>
      </c>
      <c r="I929" s="2" t="e">
        <v>#NUM!</v>
      </c>
      <c r="J929" s="2">
        <v>2</v>
      </c>
      <c r="K929" s="2">
        <v>1.5</v>
      </c>
      <c r="L929" s="2">
        <v>2.3456000000000001</v>
      </c>
    </row>
    <row r="932" spans="2:13" x14ac:dyDescent="0.15">
      <c r="B932" s="1" t="s">
        <v>347</v>
      </c>
      <c r="C932" s="1" t="s">
        <v>348</v>
      </c>
      <c r="D932" s="1" t="str">
        <f>MID(E8,1,3)</f>
        <v>nos</v>
      </c>
      <c r="E932" s="1" t="str">
        <f>MID(E8,2,4)</f>
        <v>ospa</v>
      </c>
      <c r="F932" s="1" t="str">
        <f>MID(E9,4,1)</f>
        <v>a</v>
      </c>
      <c r="G932" s="2" t="str">
        <f>MID(E20, 1, 2)</f>
        <v/>
      </c>
    </row>
    <row r="933" spans="2:13" x14ac:dyDescent="0.15">
      <c r="C933" s="1" t="s">
        <v>349</v>
      </c>
      <c r="D933" s="1" t="s">
        <v>1196</v>
      </c>
      <c r="E933" s="1" t="s">
        <v>1197</v>
      </c>
      <c r="F933" s="1" t="s">
        <v>94</v>
      </c>
      <c r="G933" s="36" t="s">
        <v>229</v>
      </c>
    </row>
    <row r="936" spans="2:13" x14ac:dyDescent="0.15">
      <c r="B936" s="1" t="s">
        <v>350</v>
      </c>
      <c r="C936" s="1" t="s">
        <v>351</v>
      </c>
    </row>
    <row r="937" spans="2:13" x14ac:dyDescent="0.15">
      <c r="C937" s="1" t="s">
        <v>352</v>
      </c>
    </row>
    <row r="940" spans="2:13" x14ac:dyDescent="0.15">
      <c r="B940" s="1" t="s">
        <v>353</v>
      </c>
      <c r="C940" s="1" t="s">
        <v>354</v>
      </c>
      <c r="D940" s="1">
        <f>MIN(B7:B12)</f>
        <v>-9999999999</v>
      </c>
      <c r="E940" s="1">
        <f>MIN(B15:B19)</f>
        <v>-1</v>
      </c>
      <c r="F940" s="1">
        <f>MIN(B13:C17)</f>
        <v>-999999.99999000004</v>
      </c>
      <c r="G940" s="2">
        <f>MIN(C10:E12)</f>
        <v>1.0000100000000001</v>
      </c>
      <c r="H940" s="2">
        <f>MIN(E7:G8,G9,H8,H10,E15)</f>
        <v>0</v>
      </c>
      <c r="I940" s="2">
        <f>MIN(1,"-2",C14,E19,E16)</f>
        <v>-2.9999899999999999</v>
      </c>
      <c r="J940" s="2">
        <f>MIN("-100",E17)</f>
        <v>-100</v>
      </c>
      <c r="K940" s="2">
        <f>MIN(E16,B9)</f>
        <v>2</v>
      </c>
      <c r="L940" s="2">
        <f>MIN(G9,G8,G7,F10,F12,E16,"-20")</f>
        <v>-20</v>
      </c>
      <c r="M940" s="2">
        <f>MIN(E10:E12)</f>
        <v>0</v>
      </c>
    </row>
    <row r="941" spans="2:13" x14ac:dyDescent="0.15">
      <c r="C941" s="1" t="s">
        <v>355</v>
      </c>
      <c r="D941" s="1">
        <v>-9999999999</v>
      </c>
      <c r="E941" s="1">
        <v>-1</v>
      </c>
      <c r="F941" s="1">
        <v>-999999.99999000004</v>
      </c>
      <c r="G941" s="2">
        <v>1.0000100000000001</v>
      </c>
      <c r="H941" s="2">
        <v>0</v>
      </c>
      <c r="I941" s="2">
        <v>-2.9999899999999999</v>
      </c>
      <c r="J941" s="2">
        <v>-100</v>
      </c>
      <c r="K941" s="2">
        <v>2</v>
      </c>
      <c r="L941" s="2">
        <v>-20</v>
      </c>
      <c r="M941" s="2">
        <v>0</v>
      </c>
    </row>
    <row r="944" spans="2:13" x14ac:dyDescent="0.15">
      <c r="B944" s="1" t="s">
        <v>356</v>
      </c>
      <c r="C944" s="1" t="s">
        <v>357</v>
      </c>
      <c r="D944" s="1">
        <f>MINA(B8:D12)</f>
        <v>-9999999999</v>
      </c>
      <c r="E944" s="1">
        <f>MINA(E15:E17)</f>
        <v>0</v>
      </c>
      <c r="F944" s="1">
        <f>MINA(B16,B10,B9)</f>
        <v>1</v>
      </c>
      <c r="G944" s="2">
        <f>MINA(E9:G13,I11,I9,H8,H14)</f>
        <v>0</v>
      </c>
      <c r="H944" s="2">
        <f>MINA("-23",E13,S7)</f>
        <v>-23</v>
      </c>
      <c r="I944" s="2">
        <f>MINA(E9:E14)</f>
        <v>0</v>
      </c>
      <c r="J944" s="2">
        <f>MINA(F12:F14,F10)</f>
        <v>0</v>
      </c>
    </row>
    <row r="945" spans="2:10" x14ac:dyDescent="0.15">
      <c r="C945" s="1" t="s">
        <v>358</v>
      </c>
      <c r="D945" s="1">
        <v>-9999999999</v>
      </c>
      <c r="E945" s="1">
        <v>0</v>
      </c>
      <c r="F945" s="1">
        <v>1</v>
      </c>
      <c r="G945" s="2">
        <v>0</v>
      </c>
      <c r="H945" s="2">
        <v>-23</v>
      </c>
      <c r="I945" s="2">
        <v>0</v>
      </c>
      <c r="J945" s="2">
        <v>0</v>
      </c>
    </row>
    <row r="948" spans="2:10" x14ac:dyDescent="0.15">
      <c r="B948" s="1" t="s">
        <v>359</v>
      </c>
      <c r="C948" s="1" t="s">
        <v>360</v>
      </c>
      <c r="D948" s="1">
        <f>MINUTE(1)</f>
        <v>0</v>
      </c>
      <c r="E948" s="1">
        <f>MINUTE(TIME(0,15,0))</f>
        <v>15</v>
      </c>
      <c r="F948" s="1" t="e">
        <f>MINUTE(E9)</f>
        <v>#VALUE!</v>
      </c>
    </row>
    <row r="949" spans="2:10" x14ac:dyDescent="0.15">
      <c r="C949" s="1" t="s">
        <v>361</v>
      </c>
      <c r="D949" s="1">
        <v>0</v>
      </c>
      <c r="E949" s="1">
        <v>15</v>
      </c>
      <c r="F949" s="1" t="e">
        <v>#VALUE!</v>
      </c>
    </row>
    <row r="952" spans="2:10" x14ac:dyDescent="0.15">
      <c r="B952" s="1" t="s">
        <v>362</v>
      </c>
      <c r="C952" s="1" t="s">
        <v>363</v>
      </c>
    </row>
    <row r="953" spans="2:10" x14ac:dyDescent="0.15">
      <c r="C953" s="1" t="s">
        <v>364</v>
      </c>
    </row>
    <row r="956" spans="2:10" x14ac:dyDescent="0.15">
      <c r="B956" s="1" t="s">
        <v>365</v>
      </c>
      <c r="C956" s="1" t="s">
        <v>652</v>
      </c>
      <c r="D956" s="69">
        <f>MIRR(AM7:AM12, AM13, AM14)</f>
        <v>0.12609413036590511</v>
      </c>
      <c r="E956" s="69">
        <f>MIRR(AN7:AN11, AN12, AN13)</f>
        <v>0.18736225093283743</v>
      </c>
      <c r="F956" s="69">
        <f>MIRR(AO7:AO10, AO11, AO12)</f>
        <v>7.0394939660276767E-2</v>
      </c>
      <c r="G956" s="69" t="e">
        <f>MIRR(AP7:AP12, AP11, AP12)</f>
        <v>#DIV/0!</v>
      </c>
      <c r="H956" s="69">
        <f>MIRR(AQ7:AQ10, AQ11, AQ12)</f>
        <v>-1</v>
      </c>
    </row>
    <row r="957" spans="2:10" x14ac:dyDescent="0.15">
      <c r="C957" s="1" t="s">
        <v>653</v>
      </c>
      <c r="D957" s="69">
        <v>0.126094130365905</v>
      </c>
      <c r="E957" s="69">
        <v>0.18736225093283701</v>
      </c>
      <c r="F957" s="69">
        <v>7.0394939660276698E-2</v>
      </c>
      <c r="G957" s="2" t="e">
        <v>#DIV/0!</v>
      </c>
      <c r="H957" s="71">
        <v>-1</v>
      </c>
    </row>
    <row r="960" spans="2:10" x14ac:dyDescent="0.15">
      <c r="B960" s="1" t="s">
        <v>654</v>
      </c>
      <c r="C960" s="1" t="s">
        <v>655</v>
      </c>
    </row>
    <row r="961" spans="2:14" x14ac:dyDescent="0.15">
      <c r="C961" s="1" t="s">
        <v>656</v>
      </c>
    </row>
    <row r="964" spans="2:14" x14ac:dyDescent="0.15">
      <c r="B964" s="1" t="s">
        <v>657</v>
      </c>
      <c r="C964" s="1" t="s">
        <v>658</v>
      </c>
      <c r="D964" s="1">
        <f>MOD(C11,C15)</f>
        <v>-4.0000000000262048E-5</v>
      </c>
      <c r="E964" s="1">
        <f>MOD(B9,B14)</f>
        <v>0</v>
      </c>
      <c r="F964" s="1">
        <f>MOD(B14,B16)</f>
        <v>0</v>
      </c>
      <c r="G964" s="2">
        <f>MOD("23","3")</f>
        <v>2</v>
      </c>
      <c r="H964" s="2">
        <f>MOD(E17,E16)</f>
        <v>0.79998999999999976</v>
      </c>
      <c r="I964" s="2" t="e">
        <f>MOD(D17,D16)</f>
        <v>#DIV/0!</v>
      </c>
      <c r="J964" s="2">
        <f>MOD(D17,E16)</f>
        <v>0</v>
      </c>
      <c r="K964" s="2">
        <f>MOD(I11:L11,J7)</f>
        <v>0</v>
      </c>
      <c r="L964" s="2">
        <f>MOD(G963:G965,3)</f>
        <v>2</v>
      </c>
      <c r="M964" s="2" t="e">
        <f>MOD(I8:J9,2)</f>
        <v>#VALUE!</v>
      </c>
      <c r="N964" s="2">
        <f>MOD(700,M9:O9)</f>
        <v>10</v>
      </c>
    </row>
    <row r="965" spans="2:14" x14ac:dyDescent="0.15">
      <c r="C965" s="1" t="s">
        <v>659</v>
      </c>
      <c r="D965" s="1">
        <v>-4.0000000000262048E-5</v>
      </c>
      <c r="E965" s="1">
        <v>0</v>
      </c>
      <c r="F965" s="1">
        <v>0</v>
      </c>
      <c r="G965" s="2">
        <v>2</v>
      </c>
      <c r="H965" s="2">
        <v>0.79998999999999976</v>
      </c>
      <c r="I965" s="2" t="e">
        <v>#DIV/0!</v>
      </c>
      <c r="J965" s="2">
        <v>0</v>
      </c>
      <c r="K965" s="2">
        <v>0</v>
      </c>
      <c r="L965" s="2">
        <v>2</v>
      </c>
      <c r="M965" s="2" t="e">
        <v>#VALUE!</v>
      </c>
      <c r="N965" s="2">
        <v>10</v>
      </c>
    </row>
    <row r="968" spans="2:14" x14ac:dyDescent="0.15">
      <c r="B968" s="1" t="s">
        <v>660</v>
      </c>
      <c r="C968" s="1" t="s">
        <v>661</v>
      </c>
      <c r="D968" s="1" t="e">
        <f>MODE(B7:B15)</f>
        <v>#N/A</v>
      </c>
      <c r="E968" s="1" t="e">
        <f>MODE(B8:B16)</f>
        <v>#N/A</v>
      </c>
      <c r="F968" s="1">
        <f>MODE(B7:C9)</f>
        <v>0</v>
      </c>
      <c r="G968" s="2" t="e">
        <f>MODE(C9,E16,"1",B8)</f>
        <v>#N/A</v>
      </c>
      <c r="H968" s="2" t="e">
        <f>MODE(B8,"1",2,3)</f>
        <v>#N/A</v>
      </c>
      <c r="I968" s="2">
        <f>MODE(1,1,2,3)</f>
        <v>1</v>
      </c>
      <c r="J968" s="2">
        <f>MODE(E7:G9)</f>
        <v>1</v>
      </c>
      <c r="K968" s="2" t="e">
        <f>MODE("1",1,#DIV/0!,2,3)</f>
        <v>#DIV/0!</v>
      </c>
      <c r="L968" s="2">
        <f>MODE(C16:E16,-1.1)</f>
        <v>-1.1000000000000001</v>
      </c>
      <c r="M968" s="2" t="e">
        <f>MODE(B9,2,D7)</f>
        <v>#VALUE!</v>
      </c>
    </row>
    <row r="969" spans="2:14" x14ac:dyDescent="0.15">
      <c r="C969" s="1" t="s">
        <v>662</v>
      </c>
      <c r="D969" s="1" t="e">
        <v>#N/A</v>
      </c>
      <c r="E969" s="1" t="e">
        <v>#N/A</v>
      </c>
      <c r="F969" s="1">
        <v>0</v>
      </c>
      <c r="G969" s="2" t="e">
        <v>#VALUE!</v>
      </c>
      <c r="H969" s="2" t="e">
        <v>#VALUE!</v>
      </c>
      <c r="I969" s="2">
        <v>1</v>
      </c>
      <c r="J969" s="2">
        <v>1</v>
      </c>
      <c r="K969" s="2" t="e">
        <v>#VALUE!</v>
      </c>
      <c r="L969" s="2">
        <v>-1.1000000000000001</v>
      </c>
      <c r="M969" s="2" t="e">
        <v>#VALUE!</v>
      </c>
    </row>
    <row r="972" spans="2:14" x14ac:dyDescent="0.15">
      <c r="B972" s="1" t="s">
        <v>663</v>
      </c>
      <c r="C972" s="1" t="s">
        <v>664</v>
      </c>
      <c r="D972" s="1">
        <f>MONTH(C20)</f>
        <v>12</v>
      </c>
      <c r="E972" s="1">
        <f>MONTH(1)</f>
        <v>1</v>
      </c>
      <c r="F972" s="1">
        <f>MONTH(0)</f>
        <v>1</v>
      </c>
      <c r="G972" s="1" t="e">
        <f>MONTH(-10)</f>
        <v>#NUM!</v>
      </c>
      <c r="H972" s="2" t="e">
        <f>MONTH(#N/A)</f>
        <v>#N/A</v>
      </c>
      <c r="I972" s="2">
        <f>MONTH(C20+60)</f>
        <v>2</v>
      </c>
    </row>
    <row r="973" spans="2:14" x14ac:dyDescent="0.15">
      <c r="C973" s="1" t="s">
        <v>665</v>
      </c>
      <c r="D973" s="1">
        <v>12</v>
      </c>
      <c r="E973" s="1">
        <v>1</v>
      </c>
      <c r="F973" s="1">
        <v>1</v>
      </c>
      <c r="G973" s="1" t="e">
        <v>#NUM!</v>
      </c>
      <c r="H973" s="2" t="e">
        <v>#N/A</v>
      </c>
      <c r="I973" s="2">
        <v>2</v>
      </c>
    </row>
    <row r="976" spans="2:14" x14ac:dyDescent="0.15">
      <c r="B976" s="1" t="s">
        <v>666</v>
      </c>
      <c r="C976" s="1" t="s">
        <v>667</v>
      </c>
      <c r="D976" s="1" t="s">
        <v>247</v>
      </c>
    </row>
    <row r="977" spans="2:4" x14ac:dyDescent="0.15">
      <c r="C977" s="1" t="s">
        <v>668</v>
      </c>
      <c r="D977" s="1" t="s">
        <v>247</v>
      </c>
    </row>
    <row r="980" spans="2:4" x14ac:dyDescent="0.15">
      <c r="B980" s="1" t="s">
        <v>669</v>
      </c>
      <c r="C980" s="1" t="s">
        <v>670</v>
      </c>
    </row>
    <row r="981" spans="2:4" x14ac:dyDescent="0.15">
      <c r="C981" s="1" t="s">
        <v>671</v>
      </c>
    </row>
    <row r="984" spans="2:4" x14ac:dyDescent="0.15">
      <c r="B984" s="1" t="s">
        <v>672</v>
      </c>
      <c r="C984" s="1" t="s">
        <v>673</v>
      </c>
      <c r="D984" s="1" t="e">
        <f>NA()</f>
        <v>#N/A</v>
      </c>
    </row>
    <row r="985" spans="2:4" x14ac:dyDescent="0.15">
      <c r="C985" s="1" t="s">
        <v>674</v>
      </c>
      <c r="D985" s="1" t="e">
        <v>#N/A</v>
      </c>
    </row>
    <row r="988" spans="2:4" x14ac:dyDescent="0.15">
      <c r="B988" s="1" t="s">
        <v>675</v>
      </c>
      <c r="C988" s="1" t="s">
        <v>676</v>
      </c>
    </row>
    <row r="989" spans="2:4" x14ac:dyDescent="0.15">
      <c r="C989" s="1" t="s">
        <v>677</v>
      </c>
    </row>
    <row r="992" spans="2:4" x14ac:dyDescent="0.15">
      <c r="B992" s="1" t="s">
        <v>678</v>
      </c>
      <c r="C992" s="1" t="s">
        <v>391</v>
      </c>
    </row>
    <row r="993" spans="2:3" x14ac:dyDescent="0.15">
      <c r="C993" s="1" t="s">
        <v>392</v>
      </c>
    </row>
    <row r="996" spans="2:3" x14ac:dyDescent="0.15">
      <c r="B996" s="1" t="s">
        <v>393</v>
      </c>
      <c r="C996" s="1" t="s">
        <v>394</v>
      </c>
    </row>
    <row r="997" spans="2:3" x14ac:dyDescent="0.15">
      <c r="C997" s="1" t="s">
        <v>395</v>
      </c>
    </row>
    <row r="1000" spans="2:3" x14ac:dyDescent="0.15">
      <c r="B1000" s="1" t="s">
        <v>396</v>
      </c>
      <c r="C1000" s="1" t="s">
        <v>397</v>
      </c>
    </row>
    <row r="1001" spans="2:3" x14ac:dyDescent="0.15">
      <c r="C1001" s="1" t="s">
        <v>398</v>
      </c>
    </row>
    <row r="1004" spans="2:3" x14ac:dyDescent="0.15">
      <c r="B1004" s="1" t="s">
        <v>399</v>
      </c>
      <c r="C1004" s="1" t="s">
        <v>400</v>
      </c>
    </row>
    <row r="1005" spans="2:3" x14ac:dyDescent="0.15">
      <c r="C1005" s="1" t="s">
        <v>401</v>
      </c>
    </row>
    <row r="1008" spans="2:3" x14ac:dyDescent="0.15">
      <c r="B1008" s="1" t="s">
        <v>402</v>
      </c>
      <c r="C1008" s="1" t="s">
        <v>403</v>
      </c>
    </row>
    <row r="1009" spans="2:9" x14ac:dyDescent="0.15">
      <c r="C1009" s="1" t="s">
        <v>404</v>
      </c>
    </row>
    <row r="1012" spans="2:9" x14ac:dyDescent="0.15">
      <c r="B1012" s="1" t="s">
        <v>405</v>
      </c>
      <c r="C1012" s="1" t="s">
        <v>406</v>
      </c>
      <c r="D1012" s="1" t="b">
        <f>NOT(0)</f>
        <v>1</v>
      </c>
      <c r="E1012" s="1" t="b">
        <f>NOT(FALSE)</f>
        <v>1</v>
      </c>
      <c r="F1012" s="1" t="b">
        <f>NOT(TRUE)</f>
        <v>0</v>
      </c>
      <c r="G1012" s="2" t="b">
        <f>NOT(1+1=2)</f>
        <v>0</v>
      </c>
      <c r="H1012" s="2" t="e">
        <f>NOT(E8)</f>
        <v>#VALUE!</v>
      </c>
    </row>
    <row r="1013" spans="2:9" x14ac:dyDescent="0.15">
      <c r="C1013" s="1" t="s">
        <v>407</v>
      </c>
      <c r="D1013" s="1" t="b">
        <v>1</v>
      </c>
      <c r="E1013" s="1" t="b">
        <v>1</v>
      </c>
      <c r="F1013" s="1" t="b">
        <v>0</v>
      </c>
      <c r="G1013" s="2" t="b">
        <v>0</v>
      </c>
      <c r="H1013" s="2" t="e">
        <v>#VALUE!</v>
      </c>
    </row>
    <row r="1016" spans="2:9" x14ac:dyDescent="0.15">
      <c r="B1016" s="1" t="s">
        <v>408</v>
      </c>
      <c r="C1016" s="1" t="s">
        <v>409</v>
      </c>
    </row>
    <row r="1017" spans="2:9" x14ac:dyDescent="0.15">
      <c r="C1017" s="1" t="s">
        <v>410</v>
      </c>
    </row>
    <row r="1020" spans="2:9" x14ac:dyDescent="0.15">
      <c r="B1020" s="1" t="s">
        <v>411</v>
      </c>
      <c r="C1020" s="1" t="s">
        <v>412</v>
      </c>
    </row>
    <row r="1021" spans="2:9" x14ac:dyDescent="0.15">
      <c r="C1021" s="1" t="s">
        <v>413</v>
      </c>
    </row>
    <row r="1024" spans="2:9" x14ac:dyDescent="0.15">
      <c r="B1024" s="1" t="s">
        <v>414</v>
      </c>
      <c r="C1024" s="1" t="s">
        <v>415</v>
      </c>
      <c r="D1024" s="2">
        <f>NPER(0.01,1,10)</f>
        <v>-9.5785940398131615</v>
      </c>
      <c r="E1024" s="1">
        <f>NPER("0.01", TRUE, "10", -20)</f>
        <v>8.7445712382444132</v>
      </c>
      <c r="F1024" s="1">
        <f>NPER(0.01, "100", "1000", -2000, TRUE)</f>
        <v>8.6690930741204877</v>
      </c>
      <c r="G1024" s="2">
        <f>NPER(0.05,10, 100, -200,D7)</f>
        <v>5.8963128603698989</v>
      </c>
      <c r="H1024" s="2" t="e">
        <f>NPER(0.01, #N/A, -200, 300)</f>
        <v>#N/A</v>
      </c>
      <c r="I1024" s="2" t="e">
        <f>NPER(12,4500,100000,100000)</f>
        <v>#NUM!</v>
      </c>
    </row>
    <row r="1025" spans="2:14" x14ac:dyDescent="0.15">
      <c r="C1025" s="1" t="s">
        <v>416</v>
      </c>
      <c r="D1025" s="2">
        <v>-9.5785940398131615</v>
      </c>
      <c r="E1025" s="1">
        <v>8.7445712382444132</v>
      </c>
      <c r="F1025" s="1">
        <v>8.6690930741204877</v>
      </c>
      <c r="G1025" s="2">
        <v>5.8963128603698989</v>
      </c>
      <c r="H1025" s="2" t="e">
        <v>#N/A</v>
      </c>
      <c r="I1025" s="2" t="e">
        <v>#NUM!</v>
      </c>
    </row>
    <row r="1028" spans="2:14" x14ac:dyDescent="0.15">
      <c r="B1028" s="1" t="s">
        <v>417</v>
      </c>
      <c r="C1028" s="1" t="s">
        <v>418</v>
      </c>
      <c r="D1028" s="41">
        <f>TRUNC(NPV(5%,AL9:AL12),4)</f>
        <v>62368.560400000002</v>
      </c>
      <c r="E1028" s="41">
        <f>TRUNC(NPV(10%,-10000,3000,4200,6800),2)</f>
        <v>1188.44</v>
      </c>
    </row>
    <row r="1029" spans="2:14" x14ac:dyDescent="0.15">
      <c r="C1029" s="1" t="s">
        <v>419</v>
      </c>
      <c r="D1029" s="1">
        <v>62368.56</v>
      </c>
      <c r="E1029" s="1">
        <v>1188.44</v>
      </c>
    </row>
    <row r="1032" spans="2:14" x14ac:dyDescent="0.15">
      <c r="B1032" s="1" t="s">
        <v>420</v>
      </c>
      <c r="C1032" s="1" t="s">
        <v>421</v>
      </c>
    </row>
    <row r="1033" spans="2:14" x14ac:dyDescent="0.15">
      <c r="C1033" s="1" t="s">
        <v>422</v>
      </c>
    </row>
    <row r="1036" spans="2:14" x14ac:dyDescent="0.15">
      <c r="B1036" s="1" t="s">
        <v>1241</v>
      </c>
      <c r="C1036" s="1" t="s">
        <v>2</v>
      </c>
      <c r="D1036" s="1">
        <f>_xludf.OCT2DEC(0)</f>
        <v>0</v>
      </c>
      <c r="E1036" s="1">
        <f>_xludf.OCT2DEC(54)</f>
        <v>44</v>
      </c>
      <c r="F1036" s="1">
        <f>_xludf.OCT2DEC(7777777533)</f>
        <v>-165</v>
      </c>
      <c r="G1036" s="1">
        <f>_xludf.OCT2DEC(7000000000)</f>
        <v>-134217728</v>
      </c>
      <c r="H1036" s="1">
        <f>_xludf.OCT2DEC(7776667533)</f>
        <v>-299173</v>
      </c>
      <c r="I1036" s="1" t="e">
        <f>_xludf.OCT2DEC("ABCDEFGH")</f>
        <v>#NUM!</v>
      </c>
      <c r="J1036" s="1" t="e">
        <f>_xludf.OCT2DEC(99999999)</f>
        <v>#NUM!</v>
      </c>
      <c r="K1036" s="1" t="e">
        <f>_xludf.OCT2DEC(3.14159)</f>
        <v>#NUM!</v>
      </c>
    </row>
    <row r="1037" spans="2:14" x14ac:dyDescent="0.15">
      <c r="C1037" s="1" t="s">
        <v>0</v>
      </c>
      <c r="D1037" s="1">
        <v>0</v>
      </c>
      <c r="E1037" s="1">
        <v>44</v>
      </c>
      <c r="F1037" s="1">
        <v>-165</v>
      </c>
      <c r="G1037" s="2">
        <v>-134217728</v>
      </c>
      <c r="H1037" s="2">
        <v>-299173</v>
      </c>
      <c r="I1037" s="1" t="e">
        <v>#NUM!</v>
      </c>
      <c r="J1037" s="1" t="e">
        <v>#NUM!</v>
      </c>
      <c r="K1037" s="1" t="e">
        <v>#NUM!</v>
      </c>
    </row>
    <row r="1040" spans="2:14" x14ac:dyDescent="0.15">
      <c r="B1040" s="1" t="s">
        <v>423</v>
      </c>
      <c r="C1040" s="1" t="s">
        <v>424</v>
      </c>
      <c r="D1040" s="1">
        <f>ODD(B7)</f>
        <v>1</v>
      </c>
      <c r="E1040" s="1">
        <f>ODD(C17)</f>
        <v>-1</v>
      </c>
      <c r="F1040" s="1">
        <f>ODD(B13)</f>
        <v>-535</v>
      </c>
      <c r="G1040" s="2">
        <f>ODD(B8)</f>
        <v>1</v>
      </c>
      <c r="H1040" s="2">
        <f>ODD(B17)</f>
        <v>1</v>
      </c>
      <c r="I1040" s="2">
        <f>ODD(B16)</f>
        <v>1</v>
      </c>
      <c r="J1040" s="2">
        <f>ODD(H11:J11)</f>
        <v>1</v>
      </c>
      <c r="K1040" s="2">
        <f>ODD(J1035:J1041)</f>
        <v>1</v>
      </c>
      <c r="L1040" s="2">
        <f>ODD(K10:M10)</f>
        <v>5</v>
      </c>
      <c r="M1040" s="2" t="e">
        <f>ODD(L7:N7)</f>
        <v>#VALUE!</v>
      </c>
      <c r="N1040" s="2" t="e">
        <f>ODD(K8:L9)</f>
        <v>#VALUE!</v>
      </c>
    </row>
    <row r="1041" spans="2:14" x14ac:dyDescent="0.15">
      <c r="C1041" s="1" t="s">
        <v>425</v>
      </c>
      <c r="D1041" s="1">
        <v>1</v>
      </c>
      <c r="E1041" s="1">
        <v>-1</v>
      </c>
      <c r="F1041" s="1">
        <v>-535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5</v>
      </c>
      <c r="M1041" s="2" t="e">
        <v>#VALUE!</v>
      </c>
      <c r="N1041" s="2" t="e">
        <v>#VALUE!</v>
      </c>
    </row>
    <row r="1044" spans="2:14" x14ac:dyDescent="0.15">
      <c r="B1044" s="1" t="s">
        <v>426</v>
      </c>
      <c r="C1044" s="1" t="s">
        <v>427</v>
      </c>
      <c r="D1044" s="1">
        <f ca="1">OFFSET(G7, 2, 0)</f>
        <v>2.3456000000000001</v>
      </c>
      <c r="E1044" s="1">
        <f ca="1">OFFSET(G7, 0, 3)</f>
        <v>4</v>
      </c>
      <c r="F1044" s="1" t="e">
        <f ca="1">OFFSET(G7, "2.1", "1.9")</f>
        <v>#REF!</v>
      </c>
      <c r="G1044" s="2">
        <f ca="1">OFFSET(F7, E7:I7, E7:I7)</f>
        <v>1.0009999999999999</v>
      </c>
      <c r="H1044" s="2">
        <f ca="1">SUM(OFFSET(K7:L8, 0,0,1,1))</f>
        <v>1</v>
      </c>
      <c r="I1044" s="2">
        <f ca="1">SUM(OFFSET(K7:L8, 0,0,1,))</f>
        <v>2.0009999999999999</v>
      </c>
      <c r="J1044" s="2">
        <f ca="1">SUM(OFFSET(K7:L8, 0,0,,1))</f>
        <v>3</v>
      </c>
      <c r="K1044" s="2">
        <f ca="1">SUM(OFFSET(K7:L8, 0,0,1))</f>
        <v>2.0009999999999999</v>
      </c>
      <c r="L1044" s="2">
        <f ca="1">SUM(OFFSET(K7:L8, 0,0))</f>
        <v>7.0008999999999997</v>
      </c>
      <c r="M1044" s="2">
        <f ca="1">SUM(OFFSET(K7:L8, 0,0,,))</f>
        <v>7.0008999999999997</v>
      </c>
      <c r="N1044" s="2">
        <f ca="1">SUM(OFFSET(K7:L8, 0,0,))</f>
        <v>7.0008999999999997</v>
      </c>
    </row>
    <row r="1045" spans="2:14" x14ac:dyDescent="0.15">
      <c r="C1045" s="1" t="s">
        <v>428</v>
      </c>
      <c r="D1045" s="1">
        <v>2.3456000000000001</v>
      </c>
      <c r="E1045" s="1">
        <v>4</v>
      </c>
      <c r="F1045" s="1">
        <v>3.4567000000000001</v>
      </c>
      <c r="G1045" s="2">
        <v>1.0009999999999999</v>
      </c>
      <c r="H1045" s="2">
        <v>1</v>
      </c>
      <c r="I1045" s="2">
        <v>2.0009999999999999</v>
      </c>
      <c r="J1045" s="2">
        <v>3</v>
      </c>
      <c r="K1045" s="2">
        <v>2.0009999999999999</v>
      </c>
      <c r="L1045" s="2">
        <v>7.0008999999999997</v>
      </c>
      <c r="M1045" s="2">
        <v>7.0008999999999997</v>
      </c>
      <c r="N1045" s="2">
        <v>7.0008999999999997</v>
      </c>
    </row>
    <row r="1048" spans="2:14" x14ac:dyDescent="0.15">
      <c r="B1048" s="1" t="s">
        <v>429</v>
      </c>
      <c r="C1048" s="1" t="s">
        <v>430</v>
      </c>
      <c r="D1048" s="1" t="s">
        <v>247</v>
      </c>
    </row>
    <row r="1049" spans="2:14" x14ac:dyDescent="0.15">
      <c r="C1049" s="1" t="s">
        <v>431</v>
      </c>
      <c r="D1049" s="1" t="s">
        <v>247</v>
      </c>
    </row>
    <row r="1052" spans="2:14" x14ac:dyDescent="0.15">
      <c r="B1052" s="1" t="s">
        <v>432</v>
      </c>
      <c r="C1052" s="1" t="s">
        <v>433</v>
      </c>
      <c r="D1052" s="1" t="s">
        <v>247</v>
      </c>
    </row>
    <row r="1053" spans="2:14" x14ac:dyDescent="0.15">
      <c r="C1053" s="1" t="s">
        <v>434</v>
      </c>
      <c r="D1053" s="1" t="s">
        <v>247</v>
      </c>
    </row>
    <row r="1056" spans="2:14" x14ac:dyDescent="0.15">
      <c r="B1056" s="1" t="s">
        <v>435</v>
      </c>
      <c r="C1056" s="1" t="s">
        <v>436</v>
      </c>
      <c r="D1056" s="1" t="b">
        <f>OR(B7)</f>
        <v>0</v>
      </c>
      <c r="E1056" s="1" t="b">
        <f>OR(B7:B9,C8,D7,B18,B17,E8,E15,F12)</f>
        <v>1</v>
      </c>
      <c r="F1056" s="1" t="e">
        <f>OR(E7:E16,E18,E19,B18)</f>
        <v>#VALUE!</v>
      </c>
      <c r="G1056" s="2" t="e">
        <f>OR(D7,E7,E8,B18)</f>
        <v>#VALUE!</v>
      </c>
      <c r="H1056" s="2" t="b">
        <f>OR(H12)</f>
        <v>1</v>
      </c>
      <c r="I1056" s="2" t="e">
        <f>OR(H13:J13)</f>
        <v>#VALUE!</v>
      </c>
      <c r="J1056" s="2" t="b">
        <f>OR(I12:K12)</f>
        <v>1</v>
      </c>
      <c r="K1056" s="2" t="b">
        <f>OR(J12:L12)</f>
        <v>0</v>
      </c>
    </row>
    <row r="1057" spans="2:14" x14ac:dyDescent="0.15">
      <c r="C1057" s="1" t="s">
        <v>437</v>
      </c>
      <c r="D1057" s="1" t="b">
        <v>0</v>
      </c>
      <c r="E1057" s="1" t="b">
        <v>1</v>
      </c>
      <c r="F1057" s="1" t="e">
        <v>#VALUE!</v>
      </c>
      <c r="G1057" s="2" t="e">
        <v>#VALUE!</v>
      </c>
      <c r="H1057" s="2" t="b">
        <v>1</v>
      </c>
      <c r="I1057" s="2" t="e">
        <v>#VALUE!</v>
      </c>
      <c r="J1057" s="2" t="b">
        <v>1</v>
      </c>
      <c r="K1057" s="2" t="b">
        <v>0</v>
      </c>
    </row>
    <row r="1060" spans="2:14" x14ac:dyDescent="0.15">
      <c r="B1060" s="1" t="s">
        <v>438</v>
      </c>
      <c r="C1060" s="1" t="s">
        <v>439</v>
      </c>
      <c r="D1060" s="1" t="s">
        <v>247</v>
      </c>
    </row>
    <row r="1061" spans="2:14" x14ac:dyDescent="0.15">
      <c r="C1061" s="1" t="s">
        <v>440</v>
      </c>
      <c r="D1061" s="1" t="s">
        <v>247</v>
      </c>
    </row>
    <row r="1064" spans="2:14" x14ac:dyDescent="0.15">
      <c r="B1064" s="1" t="s">
        <v>441</v>
      </c>
      <c r="C1064" s="1" t="s">
        <v>442</v>
      </c>
    </row>
    <row r="1065" spans="2:14" x14ac:dyDescent="0.15">
      <c r="C1065" s="1" t="s">
        <v>443</v>
      </c>
    </row>
    <row r="1068" spans="2:14" x14ac:dyDescent="0.15">
      <c r="B1068" s="1" t="s">
        <v>444</v>
      </c>
      <c r="C1068" s="1" t="s">
        <v>445</v>
      </c>
      <c r="D1068" s="1">
        <f>PERCENTILE(AR6:AR10,0.3)</f>
        <v>1.9</v>
      </c>
      <c r="E1068" s="1" t="e">
        <f>PERCENTILE(AR6:AR10,"AA")</f>
        <v>#VALUE!</v>
      </c>
      <c r="F1068" s="1" t="e">
        <f>PERCENTILE(AR6:AR10,-0.3)</f>
        <v>#NUM!</v>
      </c>
      <c r="G1068" s="2" t="e">
        <f>PERCENTILE(AR6:AR10,1.3)</f>
        <v>#NUM!</v>
      </c>
      <c r="H1068" s="2" t="e">
        <f>PERCENTILE(AR6:AR6,0.3)</f>
        <v>#NUM!</v>
      </c>
      <c r="I1068" s="2">
        <f>PERCENTILE(AR6:AR10,0.1)</f>
        <v>1.3</v>
      </c>
      <c r="J1068" s="2">
        <f>PERCENTILE(AR6:AR10,0.2)</f>
        <v>1.6</v>
      </c>
      <c r="K1068" s="2">
        <f>PERCENTILE(AR6:AR10,0.4)</f>
        <v>2.2000000000000002</v>
      </c>
      <c r="L1068" s="2">
        <f>PERCENTILE(AR6:AR10,0.5)</f>
        <v>2.5</v>
      </c>
      <c r="M1068" s="2">
        <f>PERCENTILE(AR6:AR10,0)</f>
        <v>1</v>
      </c>
      <c r="N1068" s="2">
        <f>PERCENTILE(AR6:AR10,0.005)</f>
        <v>1.0149999999999999</v>
      </c>
    </row>
    <row r="1069" spans="2:14" x14ac:dyDescent="0.15">
      <c r="C1069" s="1" t="s">
        <v>446</v>
      </c>
      <c r="D1069" s="1">
        <v>1.9</v>
      </c>
      <c r="E1069" s="1" t="e">
        <v>#VALUE!</v>
      </c>
      <c r="F1069" s="1" t="e">
        <v>#NUM!</v>
      </c>
      <c r="G1069" s="1" t="e">
        <v>#NUM!</v>
      </c>
      <c r="H1069" s="1" t="e">
        <v>#NUM!</v>
      </c>
      <c r="I1069" s="2">
        <v>1.3</v>
      </c>
      <c r="J1069" s="2">
        <v>1.6</v>
      </c>
      <c r="K1069" s="2">
        <v>2.2000000000000002</v>
      </c>
      <c r="L1069" s="2">
        <v>2.5</v>
      </c>
      <c r="M1069" s="2">
        <v>1</v>
      </c>
      <c r="N1069" s="2">
        <v>1.0149999999999999</v>
      </c>
    </row>
    <row r="1072" spans="2:14" x14ac:dyDescent="0.15">
      <c r="B1072" s="1" t="s">
        <v>447</v>
      </c>
      <c r="C1072" s="1" t="s">
        <v>448</v>
      </c>
    </row>
    <row r="1073" spans="2:4" x14ac:dyDescent="0.15">
      <c r="C1073" s="1" t="s">
        <v>449</v>
      </c>
    </row>
    <row r="1076" spans="2:4" x14ac:dyDescent="0.15">
      <c r="B1076" s="1" t="s">
        <v>450</v>
      </c>
      <c r="C1076" s="1" t="s">
        <v>451</v>
      </c>
    </row>
    <row r="1077" spans="2:4" x14ac:dyDescent="0.15">
      <c r="C1077" s="1" t="s">
        <v>452</v>
      </c>
    </row>
    <row r="1080" spans="2:4" x14ac:dyDescent="0.15">
      <c r="B1080" s="1" t="s">
        <v>453</v>
      </c>
      <c r="C1080" s="1" t="s">
        <v>454</v>
      </c>
      <c r="D1080" s="1" t="s">
        <v>247</v>
      </c>
    </row>
    <row r="1081" spans="2:4" x14ac:dyDescent="0.15">
      <c r="C1081" s="1" t="s">
        <v>455</v>
      </c>
      <c r="D1081" s="1" t="s">
        <v>247</v>
      </c>
    </row>
    <row r="1084" spans="2:4" x14ac:dyDescent="0.15">
      <c r="B1084" s="1" t="s">
        <v>456</v>
      </c>
      <c r="C1084" s="1" t="s">
        <v>457</v>
      </c>
      <c r="D1084" s="1">
        <f>PI()</f>
        <v>3.1415926535897931</v>
      </c>
    </row>
    <row r="1085" spans="2:4" x14ac:dyDescent="0.15">
      <c r="C1085" s="1" t="s">
        <v>458</v>
      </c>
      <c r="D1085" s="1">
        <v>3.14159265358979</v>
      </c>
    </row>
    <row r="1088" spans="2:4" x14ac:dyDescent="0.15">
      <c r="B1088" s="1" t="s">
        <v>459</v>
      </c>
      <c r="C1088" s="1" t="s">
        <v>460</v>
      </c>
      <c r="D1088" s="1" t="s">
        <v>247</v>
      </c>
    </row>
    <row r="1089" spans="2:14" x14ac:dyDescent="0.15">
      <c r="C1089" s="1" t="s">
        <v>461</v>
      </c>
      <c r="D1089" s="1" t="s">
        <v>247</v>
      </c>
    </row>
    <row r="1092" spans="2:14" x14ac:dyDescent="0.15">
      <c r="B1092" s="1" t="s">
        <v>462</v>
      </c>
      <c r="C1092" s="1" t="s">
        <v>463</v>
      </c>
      <c r="D1092" s="42">
        <f>PMT(0.01, 10, B16)</f>
        <v>-0.10558207655117136</v>
      </c>
      <c r="E1092" s="41">
        <f>PMT("0.01", "12", "200", "-300", TRUE)</f>
        <v>5.8266127404298702</v>
      </c>
      <c r="F1092" s="41" t="e">
        <f>PMT("0.01", "12", "200", "-300", "TRUE")</f>
        <v>#VALUE!</v>
      </c>
    </row>
    <row r="1093" spans="2:14" x14ac:dyDescent="0.15">
      <c r="C1093" s="1" t="s">
        <v>464</v>
      </c>
      <c r="D1093" s="2">
        <v>-0.10558207655117115</v>
      </c>
      <c r="E1093" s="1">
        <v>5.8266127404298693</v>
      </c>
      <c r="F1093" s="1" t="e">
        <v>#VALUE!</v>
      </c>
    </row>
    <row r="1096" spans="2:14" x14ac:dyDescent="0.15">
      <c r="B1096" s="1" t="s">
        <v>465</v>
      </c>
      <c r="C1096" s="1" t="s">
        <v>466</v>
      </c>
      <c r="D1096" s="1">
        <f>POISSON(2, 5, TRUE)</f>
        <v>0.12465201948308113</v>
      </c>
      <c r="E1096" s="1">
        <f>POISSON(2, 5, FALSE)</f>
        <v>8.4224337488568335E-2</v>
      </c>
    </row>
    <row r="1097" spans="2:14" x14ac:dyDescent="0.15">
      <c r="C1097" s="1" t="s">
        <v>467</v>
      </c>
      <c r="D1097" s="1">
        <v>0.124652019</v>
      </c>
      <c r="E1097" s="1">
        <v>8.4224336999999996E-2</v>
      </c>
    </row>
    <row r="1100" spans="2:14" x14ac:dyDescent="0.15">
      <c r="B1100" s="1" t="s">
        <v>468</v>
      </c>
      <c r="C1100" s="1" t="s">
        <v>469</v>
      </c>
      <c r="D1100" s="1" t="s">
        <v>247</v>
      </c>
    </row>
    <row r="1101" spans="2:14" x14ac:dyDescent="0.15">
      <c r="C1101" s="1" t="s">
        <v>470</v>
      </c>
      <c r="D1101" s="1" t="s">
        <v>247</v>
      </c>
    </row>
    <row r="1104" spans="2:14" x14ac:dyDescent="0.15">
      <c r="B1104" s="1" t="s">
        <v>471</v>
      </c>
      <c r="C1104" s="1" t="s">
        <v>472</v>
      </c>
      <c r="D1104" s="1">
        <f>POWER(B8,B9)</f>
        <v>1</v>
      </c>
      <c r="E1104" s="1">
        <f>POWER(B7,B9)</f>
        <v>0</v>
      </c>
      <c r="F1104" s="1">
        <f>POWER(B13,B15)</f>
        <v>-1.8726591760299626E-3</v>
      </c>
      <c r="G1104" s="2">
        <f>POWER(B16,B14)</f>
        <v>1</v>
      </c>
      <c r="H1104" s="2">
        <f>POWER(B14,B16)</f>
        <v>-2</v>
      </c>
      <c r="I1104" s="2">
        <f>POWER(C9,D7)</f>
        <v>1</v>
      </c>
      <c r="J1104" s="2" t="e">
        <f>POWER(C9,E7)</f>
        <v>#VALUE!</v>
      </c>
      <c r="K1104" s="2" t="e">
        <f>POWER(E7,C9)</f>
        <v>#VALUE!</v>
      </c>
      <c r="L1104" s="2">
        <f>POWER(E15,C16)</f>
        <v>1</v>
      </c>
      <c r="M1104" s="2">
        <f>POWER(J11:M11,L8:M8)</f>
        <v>0</v>
      </c>
      <c r="N1104" s="2">
        <f>POWER(H1102:H1105,L1104)</f>
        <v>-2</v>
      </c>
    </row>
    <row r="1105" spans="2:14" x14ac:dyDescent="0.15">
      <c r="C1105" s="1" t="s">
        <v>473</v>
      </c>
      <c r="D1105" s="1">
        <v>1</v>
      </c>
      <c r="E1105" s="1">
        <v>0</v>
      </c>
      <c r="F1105" s="1">
        <v>-1.8726591760299626E-3</v>
      </c>
      <c r="G1105" s="2">
        <v>1</v>
      </c>
      <c r="H1105" s="2">
        <v>-2</v>
      </c>
      <c r="I1105" s="2">
        <v>1</v>
      </c>
      <c r="J1105" s="2" t="e">
        <v>#VALUE!</v>
      </c>
      <c r="K1105" s="2" t="e">
        <v>#VALUE!</v>
      </c>
      <c r="L1105" s="2">
        <v>1</v>
      </c>
      <c r="M1105" s="2">
        <v>0</v>
      </c>
      <c r="N1105" s="2">
        <v>-2</v>
      </c>
    </row>
    <row r="1108" spans="2:14" x14ac:dyDescent="0.15">
      <c r="B1108" s="1" t="s">
        <v>474</v>
      </c>
      <c r="C1108" s="1" t="s">
        <v>475</v>
      </c>
      <c r="D1108" s="1">
        <f>PPMT(C9,B9,B9,J7)</f>
        <v>-2.7096774193548385</v>
      </c>
      <c r="E1108" s="57"/>
    </row>
    <row r="1109" spans="2:14" x14ac:dyDescent="0.15">
      <c r="C1109" s="1" t="s">
        <v>476</v>
      </c>
      <c r="D1109" s="1">
        <v>-2.7096774190000001</v>
      </c>
      <c r="E1109" s="57"/>
    </row>
    <row r="1112" spans="2:14" x14ac:dyDescent="0.15">
      <c r="B1112" s="1" t="s">
        <v>477</v>
      </c>
      <c r="C1112" s="1" t="s">
        <v>478</v>
      </c>
      <c r="D1112" s="1" t="s">
        <v>247</v>
      </c>
    </row>
    <row r="1113" spans="2:14" x14ac:dyDescent="0.15">
      <c r="C1113" s="1" t="s">
        <v>479</v>
      </c>
      <c r="D1113" s="1" t="s">
        <v>247</v>
      </c>
    </row>
    <row r="1116" spans="2:14" x14ac:dyDescent="0.15">
      <c r="B1116" s="1" t="s">
        <v>480</v>
      </c>
      <c r="C1116" s="1" t="s">
        <v>195</v>
      </c>
    </row>
    <row r="1117" spans="2:14" x14ac:dyDescent="0.15">
      <c r="C1117" s="1" t="s">
        <v>196</v>
      </c>
    </row>
    <row r="1120" spans="2:14" x14ac:dyDescent="0.15">
      <c r="B1120" s="1" t="s">
        <v>197</v>
      </c>
      <c r="C1120" s="1" t="s">
        <v>198</v>
      </c>
      <c r="D1120" s="1">
        <f>PRODUCT("2",B9:B10)</f>
        <v>2136</v>
      </c>
      <c r="E1120" s="1">
        <f>PRODUCT("0",B9:B15)</f>
        <v>0</v>
      </c>
      <c r="F1120" s="1">
        <f>PRODUCT(B7:B17)</f>
        <v>0</v>
      </c>
      <c r="G1120" s="2" t="e">
        <f>PRODUCT(0,2/0,7)</f>
        <v>#DIV/0!</v>
      </c>
      <c r="H1120" s="2">
        <f>PRODUCT(B18,C14)</f>
        <v>-2.9999899999999999</v>
      </c>
      <c r="I1120" s="2">
        <f>PRODUCT(C9:E9)</f>
        <v>1.1000000000000001</v>
      </c>
      <c r="J1120" s="2">
        <f>PRODUCT(F10:G12)</f>
        <v>0</v>
      </c>
      <c r="K1120" s="2">
        <f>PRODUCT(E8:E9)</f>
        <v>0</v>
      </c>
      <c r="L1120" s="2">
        <f>PRODUCT(D7:D10)</f>
        <v>0</v>
      </c>
    </row>
    <row r="1121" spans="2:12" x14ac:dyDescent="0.15">
      <c r="C1121" s="1" t="s">
        <v>199</v>
      </c>
      <c r="D1121" s="1">
        <v>2136</v>
      </c>
      <c r="E1121" s="1">
        <v>0</v>
      </c>
      <c r="F1121" s="1">
        <v>0</v>
      </c>
      <c r="G1121" s="2" t="e">
        <v>#DIV/0!</v>
      </c>
      <c r="H1121" s="2">
        <v>-2.9999899999999999</v>
      </c>
      <c r="I1121" s="2">
        <v>1.1000000000000001</v>
      </c>
      <c r="J1121" s="2">
        <v>0</v>
      </c>
      <c r="K1121" s="2">
        <v>0</v>
      </c>
      <c r="L1121" s="2">
        <v>0</v>
      </c>
    </row>
    <row r="1124" spans="2:12" x14ac:dyDescent="0.15">
      <c r="B1124" s="1" t="s">
        <v>200</v>
      </c>
      <c r="C1124" s="1" t="s">
        <v>201</v>
      </c>
    </row>
    <row r="1125" spans="2:12" x14ac:dyDescent="0.15">
      <c r="C1125" s="1" t="s">
        <v>202</v>
      </c>
    </row>
    <row r="1128" spans="2:12" x14ac:dyDescent="0.15">
      <c r="B1128" s="1" t="s">
        <v>203</v>
      </c>
      <c r="C1128" s="1" t="s">
        <v>204</v>
      </c>
      <c r="D1128" s="42">
        <f>PV(0.1, 10, B16)</f>
        <v>-6.1445671057046853</v>
      </c>
    </row>
    <row r="1129" spans="2:12" x14ac:dyDescent="0.15">
      <c r="C1129" s="1" t="s">
        <v>205</v>
      </c>
      <c r="D1129" s="2">
        <v>-6.1445671057046853</v>
      </c>
    </row>
    <row r="1132" spans="2:12" x14ac:dyDescent="0.15">
      <c r="B1132" s="1" t="s">
        <v>206</v>
      </c>
      <c r="C1132" s="1" t="s">
        <v>207</v>
      </c>
    </row>
    <row r="1133" spans="2:12" x14ac:dyDescent="0.15">
      <c r="C1133" s="1" t="s">
        <v>208</v>
      </c>
    </row>
    <row r="1136" spans="2:12" ht="15" x14ac:dyDescent="0.2">
      <c r="B1136" s="1" t="s">
        <v>1223</v>
      </c>
      <c r="C1136" s="1" t="s">
        <v>2</v>
      </c>
      <c r="D1136" s="59">
        <f>QUOTIENT(5,2)</f>
        <v>2</v>
      </c>
      <c r="E1136" s="1">
        <f>QUOTIENT(4.5,3.1)</f>
        <v>1</v>
      </c>
      <c r="F1136" s="1">
        <f>QUOTIENT(-10,3)</f>
        <v>-3</v>
      </c>
      <c r="G1136" s="2">
        <f>QUOTIENT(-5.5,2)</f>
        <v>-2</v>
      </c>
      <c r="H1136" s="2">
        <f>QUOTIENT(3.14159,6.02214179E+23)</f>
        <v>0</v>
      </c>
      <c r="I1136" s="2" t="e">
        <f>QUOTIENT("ABCD",2)</f>
        <v>#VALUE!</v>
      </c>
      <c r="J1136" s="2" t="e">
        <f>QUOTIENT(5,"ABCD")</f>
        <v>#VALUE!</v>
      </c>
      <c r="K1136" s="2" t="e">
        <f>QUOTIENT(3.14159,0)</f>
        <v>#DIV/0!</v>
      </c>
    </row>
    <row r="1137" spans="2:14" x14ac:dyDescent="0.15">
      <c r="C1137" s="1" t="s">
        <v>0</v>
      </c>
      <c r="D1137" s="57">
        <v>2</v>
      </c>
      <c r="E1137" s="1">
        <v>1</v>
      </c>
      <c r="F1137" s="1">
        <v>-3</v>
      </c>
      <c r="G1137" s="2">
        <v>-2</v>
      </c>
      <c r="H1137" s="2">
        <v>0</v>
      </c>
      <c r="I1137" s="58" t="e">
        <v>#VALUE!</v>
      </c>
      <c r="J1137" s="58" t="e">
        <v>#VALUE!</v>
      </c>
      <c r="K1137" s="58" t="e">
        <v>#DIV/0!</v>
      </c>
    </row>
    <row r="1140" spans="2:14" x14ac:dyDescent="0.15">
      <c r="B1140" s="1" t="s">
        <v>209</v>
      </c>
      <c r="C1140" s="1" t="s">
        <v>210</v>
      </c>
      <c r="D1140" s="1">
        <f>RADIANS(B7)</f>
        <v>0</v>
      </c>
      <c r="E1140" s="1">
        <f>RADIANS(B9)</f>
        <v>3.4906585039886591E-2</v>
      </c>
      <c r="F1140" s="1">
        <f>RADIANS(B14)</f>
        <v>-3.4906585039886591E-2</v>
      </c>
      <c r="G1140" s="2">
        <f>RADIANS(B15)</f>
        <v>-1.7453292519943295E-2</v>
      </c>
      <c r="H1140" s="2">
        <f>RADIANS(B16)</f>
        <v>1.7453292519943295E-2</v>
      </c>
      <c r="I1140" s="2">
        <f>RADIANS(D7)</f>
        <v>0</v>
      </c>
      <c r="J1140" s="2" t="e">
        <f>RADIANS(E7)</f>
        <v>#VALUE!</v>
      </c>
      <c r="K1140" s="2">
        <f>RADIANS(E15)</f>
        <v>1.7453292519943295E-2</v>
      </c>
      <c r="L1140" s="2">
        <f>RADIANS(J10:M10)</f>
        <v>7.8539816339744828E-2</v>
      </c>
      <c r="M1140" s="2">
        <f>RADIANS(I1134:I1141)</f>
        <v>0</v>
      </c>
      <c r="N1140" s="2" t="e">
        <f>RADIANS(K8:L9)</f>
        <v>#VALUE!</v>
      </c>
    </row>
    <row r="1141" spans="2:14" x14ac:dyDescent="0.15">
      <c r="C1141" s="1" t="s">
        <v>211</v>
      </c>
      <c r="D1141" s="1">
        <v>0</v>
      </c>
      <c r="E1141" s="1">
        <v>3.4906585039886591E-2</v>
      </c>
      <c r="F1141" s="1">
        <v>-3.4906585039886591E-2</v>
      </c>
      <c r="G1141" s="2">
        <v>-1.7453292519943295E-2</v>
      </c>
      <c r="H1141" s="2">
        <v>1.7453292519943295E-2</v>
      </c>
      <c r="I1141" s="2">
        <v>0</v>
      </c>
      <c r="J1141" s="2" t="e">
        <v>#VALUE!</v>
      </c>
      <c r="K1141" s="2">
        <v>1.7453292519943295E-2</v>
      </c>
      <c r="L1141" s="2">
        <v>7.8539816339744828E-2</v>
      </c>
      <c r="M1141" s="2">
        <v>0</v>
      </c>
      <c r="N1141" s="2" t="e">
        <v>#VALUE!</v>
      </c>
    </row>
    <row r="1144" spans="2:14" x14ac:dyDescent="0.15">
      <c r="B1144" s="1" t="s">
        <v>212</v>
      </c>
      <c r="C1144" s="1" t="s">
        <v>213</v>
      </c>
      <c r="D1144" s="1" t="s">
        <v>248</v>
      </c>
    </row>
    <row r="1145" spans="2:14" x14ac:dyDescent="0.15">
      <c r="C1145" s="1" t="s">
        <v>214</v>
      </c>
      <c r="D1145" s="1" t="s">
        <v>248</v>
      </c>
    </row>
    <row r="1148" spans="2:14" x14ac:dyDescent="0.15">
      <c r="B1148" s="1" t="s">
        <v>215</v>
      </c>
      <c r="C1148" s="1" t="s">
        <v>216</v>
      </c>
      <c r="D1148" s="1">
        <f>RANK(G7,H7:K7)</f>
        <v>4</v>
      </c>
      <c r="E1148" s="1">
        <f>RANK(F8,H7:L9,0)</f>
        <v>15</v>
      </c>
      <c r="F1148" s="1">
        <f>RANK(F8,H7:L9,1)</f>
        <v>1</v>
      </c>
      <c r="G1148" s="2">
        <f>RANK(I8,H7:L9,1)</f>
        <v>10</v>
      </c>
      <c r="H1148" s="2">
        <f>RANK(I8,H7:L9,0)</f>
        <v>5</v>
      </c>
      <c r="I1148" s="2" t="e">
        <f>RANK(E9,H7:L9,0)</f>
        <v>#VALUE!</v>
      </c>
    </row>
    <row r="1149" spans="2:14" x14ac:dyDescent="0.15">
      <c r="C1149" s="1" t="s">
        <v>217</v>
      </c>
      <c r="D1149" s="1">
        <v>4</v>
      </c>
      <c r="E1149" s="1">
        <v>15</v>
      </c>
      <c r="F1149" s="1">
        <v>1</v>
      </c>
      <c r="G1149" s="2">
        <v>10</v>
      </c>
      <c r="H1149" s="2">
        <v>5</v>
      </c>
      <c r="I1149" s="2" t="e">
        <v>#VALUE!</v>
      </c>
    </row>
    <row r="1152" spans="2:14" x14ac:dyDescent="0.15">
      <c r="B1152" s="1" t="s">
        <v>218</v>
      </c>
      <c r="C1152" s="1" t="s">
        <v>219</v>
      </c>
      <c r="D1152" s="49">
        <f>RATE(58,-200,8000)</f>
        <v>1.3541257643259374E-2</v>
      </c>
    </row>
    <row r="1153" spans="2:4" x14ac:dyDescent="0.15">
      <c r="C1153" s="1" t="s">
        <v>220</v>
      </c>
      <c r="D1153" s="1">
        <v>1.35412576432592E-2</v>
      </c>
    </row>
    <row r="1156" spans="2:4" x14ac:dyDescent="0.15">
      <c r="B1156" s="1" t="s">
        <v>221</v>
      </c>
      <c r="C1156" s="1" t="s">
        <v>507</v>
      </c>
      <c r="D1156" s="1" t="s">
        <v>247</v>
      </c>
    </row>
    <row r="1157" spans="2:4" x14ac:dyDescent="0.15">
      <c r="C1157" s="1" t="s">
        <v>508</v>
      </c>
      <c r="D1157" s="1" t="s">
        <v>247</v>
      </c>
    </row>
    <row r="1160" spans="2:4" x14ac:dyDescent="0.15">
      <c r="B1160" s="1" t="s">
        <v>509</v>
      </c>
      <c r="C1160" s="1" t="s">
        <v>510</v>
      </c>
      <c r="D1160" s="1" t="s">
        <v>247</v>
      </c>
    </row>
    <row r="1161" spans="2:4" x14ac:dyDescent="0.15">
      <c r="C1161" s="1" t="s">
        <v>511</v>
      </c>
      <c r="D1161" s="1" t="s">
        <v>247</v>
      </c>
    </row>
    <row r="1164" spans="2:4" x14ac:dyDescent="0.15">
      <c r="B1164" s="1" t="s">
        <v>512</v>
      </c>
      <c r="C1164" s="1" t="s">
        <v>513</v>
      </c>
      <c r="D1164" s="1" t="s">
        <v>247</v>
      </c>
    </row>
    <row r="1165" spans="2:4" x14ac:dyDescent="0.15">
      <c r="C1165" s="1" t="s">
        <v>514</v>
      </c>
      <c r="D1165" s="1" t="s">
        <v>247</v>
      </c>
    </row>
    <row r="1168" spans="2:4" x14ac:dyDescent="0.15">
      <c r="B1168" s="1" t="s">
        <v>515</v>
      </c>
      <c r="C1168" s="1" t="s">
        <v>516</v>
      </c>
      <c r="D1168" s="1" t="s">
        <v>247</v>
      </c>
    </row>
    <row r="1169" spans="2:9" x14ac:dyDescent="0.15">
      <c r="C1169" s="1" t="s">
        <v>517</v>
      </c>
      <c r="D1169" s="1" t="s">
        <v>247</v>
      </c>
    </row>
    <row r="1172" spans="2:9" x14ac:dyDescent="0.15">
      <c r="B1172" s="1" t="s">
        <v>518</v>
      </c>
      <c r="C1172" s="1" t="s">
        <v>519</v>
      </c>
      <c r="D1172" s="1" t="s">
        <v>247</v>
      </c>
    </row>
    <row r="1173" spans="2:9" x14ac:dyDescent="0.15">
      <c r="C1173" s="1" t="s">
        <v>520</v>
      </c>
      <c r="D1173" s="1" t="s">
        <v>247</v>
      </c>
    </row>
    <row r="1176" spans="2:9" x14ac:dyDescent="0.15">
      <c r="B1176" s="1" t="s">
        <v>521</v>
      </c>
      <c r="C1176" s="1" t="s">
        <v>522</v>
      </c>
      <c r="D1176" s="1" t="str">
        <f>REPLACE("ABCDEFG", 2.3, 3.9, "xx")</f>
        <v>AxxEFG</v>
      </c>
      <c r="E1176" s="1" t="str">
        <f>REPLACE("ABCDEF", TRUE, TRUE, "xxx")</f>
        <v>xxxBCDEF</v>
      </c>
      <c r="F1176" s="1" t="str">
        <f>REPLACE("ABCDEF", "3.9", "40", "x")</f>
        <v>ABx</v>
      </c>
      <c r="G1176" s="2" t="str">
        <f>REPLACE(12345, 3, 1, 9009)</f>
        <v>12900945</v>
      </c>
      <c r="H1176" s="2" t="e">
        <f>REPLACE("ABCDEF", -3, 4, "xx")</f>
        <v>#VALUE!</v>
      </c>
      <c r="I1176" s="2" t="e">
        <f>REPLACE("ABCDEF",#NAME?, 2, "xx")</f>
        <v>#NAME?</v>
      </c>
    </row>
    <row r="1177" spans="2:9" x14ac:dyDescent="0.15">
      <c r="C1177" s="1" t="s">
        <v>523</v>
      </c>
      <c r="D1177" s="1" t="s">
        <v>1201</v>
      </c>
      <c r="E1177" s="1" t="s">
        <v>1202</v>
      </c>
      <c r="F1177" s="1" t="s">
        <v>1203</v>
      </c>
      <c r="G1177" s="36" t="s">
        <v>1204</v>
      </c>
      <c r="H1177" s="2" t="e">
        <v>#VALUE!</v>
      </c>
      <c r="I1177" s="2" t="e">
        <v>#NAME?</v>
      </c>
    </row>
    <row r="1180" spans="2:9" x14ac:dyDescent="0.15">
      <c r="B1180" s="1" t="s">
        <v>524</v>
      </c>
      <c r="C1180" s="1" t="s">
        <v>525</v>
      </c>
    </row>
    <row r="1181" spans="2:9" x14ac:dyDescent="0.15">
      <c r="C1181" s="1" t="s">
        <v>526</v>
      </c>
    </row>
    <row r="1184" spans="2:9" x14ac:dyDescent="0.15">
      <c r="B1184" s="1" t="s">
        <v>527</v>
      </c>
      <c r="C1184" s="1" t="s">
        <v>528</v>
      </c>
    </row>
    <row r="1185" spans="2:4" x14ac:dyDescent="0.15">
      <c r="C1185" s="1" t="s">
        <v>529</v>
      </c>
    </row>
    <row r="1188" spans="2:4" x14ac:dyDescent="0.15">
      <c r="B1188" s="1" t="s">
        <v>530</v>
      </c>
      <c r="C1188" s="1" t="s">
        <v>531</v>
      </c>
    </row>
    <row r="1189" spans="2:4" x14ac:dyDescent="0.15">
      <c r="C1189" s="1" t="s">
        <v>532</v>
      </c>
    </row>
    <row r="1192" spans="2:4" x14ac:dyDescent="0.15">
      <c r="B1192" s="1" t="s">
        <v>249</v>
      </c>
      <c r="C1192" s="1" t="s">
        <v>250</v>
      </c>
      <c r="D1192" s="1" t="s">
        <v>247</v>
      </c>
    </row>
    <row r="1193" spans="2:4" x14ac:dyDescent="0.15">
      <c r="C1193" s="1" t="s">
        <v>251</v>
      </c>
      <c r="D1193" s="1" t="s">
        <v>247</v>
      </c>
    </row>
    <row r="1196" spans="2:4" x14ac:dyDescent="0.15">
      <c r="B1196" s="1" t="s">
        <v>252</v>
      </c>
      <c r="C1196" s="1" t="s">
        <v>253</v>
      </c>
      <c r="D1196" s="1" t="s">
        <v>247</v>
      </c>
    </row>
    <row r="1197" spans="2:4" x14ac:dyDescent="0.15">
      <c r="C1197" s="1" t="s">
        <v>254</v>
      </c>
      <c r="D1197" s="1" t="s">
        <v>247</v>
      </c>
    </row>
    <row r="1200" spans="2:4" x14ac:dyDescent="0.15">
      <c r="B1200" s="1" t="s">
        <v>255</v>
      </c>
      <c r="C1200" s="1" t="s">
        <v>256</v>
      </c>
    </row>
    <row r="1201" spans="2:11" x14ac:dyDescent="0.15">
      <c r="C1201" s="1" t="s">
        <v>257</v>
      </c>
    </row>
    <row r="1204" spans="2:11" x14ac:dyDescent="0.15">
      <c r="B1204" s="1" t="s">
        <v>258</v>
      </c>
      <c r="C1204" s="1" t="s">
        <v>259</v>
      </c>
      <c r="D1204" s="1" t="s">
        <v>247</v>
      </c>
    </row>
    <row r="1205" spans="2:11" x14ac:dyDescent="0.15">
      <c r="C1205" s="1" t="s">
        <v>260</v>
      </c>
      <c r="D1205" s="1" t="s">
        <v>247</v>
      </c>
    </row>
    <row r="1208" spans="2:11" x14ac:dyDescent="0.15">
      <c r="B1208" s="1" t="s">
        <v>261</v>
      </c>
      <c r="C1208" s="1" t="s">
        <v>262</v>
      </c>
      <c r="D1208" s="1" t="str">
        <f>RIGHT("a string",0)</f>
        <v/>
      </c>
      <c r="E1208" s="1" t="str">
        <f>RIGHT("a string","6")</f>
        <v>string</v>
      </c>
      <c r="F1208" s="1" t="str">
        <f>RIGHT("a string",10)</f>
        <v>a string</v>
      </c>
      <c r="G1208" s="1" t="str">
        <f>RIGHT("a string",B9)</f>
        <v>ng</v>
      </c>
      <c r="H1208" s="2" t="str">
        <f>RIGHT(E11, E17)</f>
        <v>ce</v>
      </c>
      <c r="I1208" s="2" t="str">
        <f>RIGHT(TRUE,2)</f>
        <v>UE</v>
      </c>
      <c r="J1208" s="2" t="e">
        <f>RIGHT(G383:H385,H386)</f>
        <v>#VALUE!</v>
      </c>
      <c r="K1208" s="2" t="str">
        <f>RIGHT("a string", TRUE)</f>
        <v>g</v>
      </c>
    </row>
    <row r="1209" spans="2:11" x14ac:dyDescent="0.15">
      <c r="C1209" s="1" t="s">
        <v>263</v>
      </c>
      <c r="D1209" s="1" t="s">
        <v>229</v>
      </c>
      <c r="E1209" s="1" t="s">
        <v>86</v>
      </c>
      <c r="F1209" s="1" t="s">
        <v>91</v>
      </c>
      <c r="G1209" s="2" t="s">
        <v>96</v>
      </c>
      <c r="H1209" s="2" t="s">
        <v>97</v>
      </c>
      <c r="I1209" s="2" t="s">
        <v>98</v>
      </c>
      <c r="J1209" s="2" t="e">
        <v>#VALUE!</v>
      </c>
      <c r="K1209" s="2" t="s">
        <v>99</v>
      </c>
    </row>
    <row r="1212" spans="2:11" x14ac:dyDescent="0.15">
      <c r="B1212" s="1" t="s">
        <v>264</v>
      </c>
      <c r="C1212" s="1" t="s">
        <v>265</v>
      </c>
    </row>
    <row r="1213" spans="2:11" x14ac:dyDescent="0.15">
      <c r="C1213" s="1" t="s">
        <v>266</v>
      </c>
    </row>
    <row r="1216" spans="2:11" x14ac:dyDescent="0.15">
      <c r="B1216" s="1" t="s">
        <v>267</v>
      </c>
      <c r="C1216" s="1" t="s">
        <v>268</v>
      </c>
    </row>
    <row r="1217" spans="2:16" x14ac:dyDescent="0.15">
      <c r="C1217" s="1" t="s">
        <v>269</v>
      </c>
    </row>
    <row r="1220" spans="2:16" x14ac:dyDescent="0.15">
      <c r="B1220" s="1" t="s">
        <v>270</v>
      </c>
      <c r="C1220" s="1" t="s">
        <v>271</v>
      </c>
      <c r="D1220" s="1">
        <f>ROUND(B9,B8)</f>
        <v>2</v>
      </c>
      <c r="E1220" s="1">
        <f>ROUND(C10,C9)</f>
        <v>1</v>
      </c>
      <c r="F1220" s="1">
        <f>ROUND(C15,C16)</f>
        <v>0</v>
      </c>
      <c r="G1220" s="2">
        <f>ROUND(C15,C9)</f>
        <v>-1</v>
      </c>
      <c r="H1220" s="2">
        <f>ROUND(C11,C17)</f>
        <v>3</v>
      </c>
      <c r="I1220" s="2">
        <f>ROUND(C7,C7)</f>
        <v>0</v>
      </c>
      <c r="J1220" s="2">
        <f>ROUND(D7,D8)</f>
        <v>0</v>
      </c>
      <c r="K1220" s="2" t="e">
        <f>ROUND(E7,C7)</f>
        <v>#VALUE!</v>
      </c>
      <c r="L1220" s="2" t="e">
        <f>ROUND(C7,E7)</f>
        <v>#VALUE!</v>
      </c>
      <c r="M1220" s="2">
        <f>ROUND(F13,F8)</f>
        <v>3</v>
      </c>
      <c r="N1220" s="2">
        <f>ROUND(M9:O9,K10)</f>
        <v>345</v>
      </c>
      <c r="O1220" s="2">
        <f>ROUND(N10,K10)</f>
        <v>0</v>
      </c>
      <c r="P1220" s="2">
        <f>ROUND(N1218:N1221,O10)</f>
        <v>345</v>
      </c>
    </row>
    <row r="1221" spans="2:16" x14ac:dyDescent="0.15">
      <c r="C1221" s="1" t="s">
        <v>272</v>
      </c>
      <c r="D1221" s="1">
        <v>2</v>
      </c>
      <c r="E1221" s="1">
        <v>1</v>
      </c>
      <c r="F1221" s="1">
        <v>0</v>
      </c>
      <c r="G1221" s="2">
        <v>-1</v>
      </c>
      <c r="H1221" s="2">
        <v>3</v>
      </c>
      <c r="I1221" s="2">
        <v>0</v>
      </c>
      <c r="J1221" s="2">
        <v>0</v>
      </c>
      <c r="K1221" s="2" t="e">
        <v>#VALUE!</v>
      </c>
      <c r="L1221" s="2" t="e">
        <v>#VALUE!</v>
      </c>
      <c r="M1221" s="2">
        <v>3</v>
      </c>
      <c r="N1221" s="2">
        <v>345</v>
      </c>
      <c r="O1221" s="2">
        <v>0</v>
      </c>
      <c r="P1221" s="2">
        <v>345</v>
      </c>
    </row>
    <row r="1224" spans="2:16" x14ac:dyDescent="0.15">
      <c r="B1224" s="1" t="s">
        <v>273</v>
      </c>
      <c r="C1224" s="1" t="s">
        <v>274</v>
      </c>
      <c r="D1224" s="1">
        <f>ROUNDDOWN(1.5,0)</f>
        <v>1</v>
      </c>
      <c r="E1224" s="1">
        <f>ROUNDDOWN(1.567,2)</f>
        <v>1.56</v>
      </c>
      <c r="F1224" s="1">
        <f>ROUNDDOWN(B13,-1)</f>
        <v>-530</v>
      </c>
      <c r="G1224" s="2">
        <f>ROUNDDOWN(C11,1)</f>
        <v>2.9</v>
      </c>
      <c r="H1224" s="2">
        <f>ROUNDDOWN(D7,-1)</f>
        <v>0</v>
      </c>
      <c r="I1224" s="2">
        <f>ROUNDDOWN(E13,0)</f>
        <v>0</v>
      </c>
      <c r="J1224" s="2">
        <f>ROUNDDOWN(E17,2)</f>
        <v>2.99</v>
      </c>
      <c r="K1224" s="2" t="e">
        <f>ROUNDDOWN(E7,1)</f>
        <v>#VALUE!</v>
      </c>
      <c r="L1224" s="2">
        <f>ROUNDDOWN(F13,3)</f>
        <v>2.9990000000000001</v>
      </c>
      <c r="M1224" s="2" t="e">
        <f>ROUNDDOWN(G7:I7,3)</f>
        <v>#VALUE!</v>
      </c>
      <c r="N1224" s="2">
        <f>ROUNDDOWN(L9:O9,-2)</f>
        <v>300</v>
      </c>
      <c r="O1224" s="2">
        <f>ROUNDDOWN(N1224:N1226,-2)</f>
        <v>300</v>
      </c>
      <c r="P1224" s="2" t="e">
        <f>ROUNDDOWN(K8:L9,2)</f>
        <v>#VALUE!</v>
      </c>
    </row>
    <row r="1225" spans="2:16" x14ac:dyDescent="0.15">
      <c r="C1225" s="1" t="s">
        <v>275</v>
      </c>
      <c r="D1225" s="1">
        <v>1</v>
      </c>
      <c r="E1225" s="1">
        <v>1.56</v>
      </c>
      <c r="F1225" s="1">
        <v>-530</v>
      </c>
      <c r="G1225" s="2">
        <v>2.9</v>
      </c>
      <c r="H1225" s="2">
        <v>0</v>
      </c>
      <c r="I1225" s="2">
        <v>0</v>
      </c>
      <c r="J1225" s="2">
        <v>2.99</v>
      </c>
      <c r="K1225" s="2" t="e">
        <v>#VALUE!</v>
      </c>
      <c r="L1225" s="2">
        <v>2.9990000000000001</v>
      </c>
      <c r="M1225" s="2" t="e">
        <v>#VALUE!</v>
      </c>
      <c r="N1225" s="2">
        <v>300</v>
      </c>
      <c r="O1225" s="2">
        <v>300</v>
      </c>
      <c r="P1225" s="2" t="e">
        <v>#VALUE!</v>
      </c>
    </row>
    <row r="1228" spans="2:16" x14ac:dyDescent="0.15">
      <c r="B1228" s="1" t="s">
        <v>276</v>
      </c>
      <c r="C1228" s="1" t="s">
        <v>277</v>
      </c>
      <c r="D1228" s="1">
        <f>ROUNDUP(0,0)</f>
        <v>0</v>
      </c>
      <c r="E1228" s="1">
        <f>ROUNDUP(B10,-2)</f>
        <v>600</v>
      </c>
      <c r="F1228" s="1">
        <f>ROUNDUP(B13,-2)</f>
        <v>-600</v>
      </c>
      <c r="G1228" s="2">
        <f>ROUNDUP(B16,0)</f>
        <v>1</v>
      </c>
      <c r="H1228" s="2">
        <f>ROUNDUP(B17,-1)</f>
        <v>0</v>
      </c>
      <c r="I1228" s="2">
        <f>ROUNDUP(C8,-1)</f>
        <v>10</v>
      </c>
      <c r="J1228" s="2" t="e">
        <f>ROUNDUP(E7,0)</f>
        <v>#VALUE!</v>
      </c>
      <c r="K1228" s="2">
        <f>ROUNDUP(E17,3)</f>
        <v>3</v>
      </c>
      <c r="L1228" s="2" t="e">
        <f>ROUNDUP(G9:I9,2)</f>
        <v>#VALUE!</v>
      </c>
      <c r="M1228" s="2">
        <f>ROUNDUP(K8:N8,2)</f>
        <v>3</v>
      </c>
      <c r="N1228" s="2">
        <f>ROUNDUP(K1227:K1229,1)</f>
        <v>3</v>
      </c>
      <c r="O1228" s="2" t="e">
        <f>ROUNDUP(N8:O10,0)</f>
        <v>#VALUE!</v>
      </c>
    </row>
    <row r="1229" spans="2:16" x14ac:dyDescent="0.15">
      <c r="C1229" s="1" t="s">
        <v>278</v>
      </c>
      <c r="D1229" s="1">
        <v>0</v>
      </c>
      <c r="E1229" s="1">
        <v>600</v>
      </c>
      <c r="F1229" s="1">
        <v>-600</v>
      </c>
      <c r="G1229" s="2">
        <v>1</v>
      </c>
      <c r="H1229" s="2">
        <v>0</v>
      </c>
      <c r="I1229" s="2">
        <v>10</v>
      </c>
      <c r="J1229" s="2" t="e">
        <v>#VALUE!</v>
      </c>
      <c r="K1229" s="2">
        <v>3</v>
      </c>
      <c r="L1229" s="2" t="e">
        <v>#VALUE!</v>
      </c>
      <c r="M1229" s="2">
        <v>3</v>
      </c>
      <c r="N1229" s="2">
        <v>3</v>
      </c>
      <c r="O1229" s="2" t="e">
        <v>#VALUE!</v>
      </c>
    </row>
    <row r="1232" spans="2:16" x14ac:dyDescent="0.15">
      <c r="B1232" s="1" t="s">
        <v>279</v>
      </c>
      <c r="C1232" s="1" t="s">
        <v>280</v>
      </c>
      <c r="D1232" s="1">
        <f>ROW(E17)</f>
        <v>17</v>
      </c>
      <c r="E1232" s="1">
        <f>ROW(C13)</f>
        <v>13</v>
      </c>
      <c r="F1232" s="1">
        <f>ROW(2:3)</f>
        <v>2</v>
      </c>
      <c r="G1232" s="2">
        <f>ROW(C11:C14)</f>
        <v>11</v>
      </c>
      <c r="H1232" s="2">
        <f>ROW(C13:E13)</f>
        <v>13</v>
      </c>
      <c r="I1232" s="2">
        <f>ROW(C14:E17)</f>
        <v>14</v>
      </c>
      <c r="J1232" s="2">
        <f>ROW(J1228)</f>
        <v>1228</v>
      </c>
      <c r="K1232" s="2">
        <f>ROW(D13:E17)</f>
        <v>13</v>
      </c>
    </row>
    <row r="1233" spans="2:11" x14ac:dyDescent="0.15">
      <c r="C1233" s="1" t="s">
        <v>281</v>
      </c>
      <c r="D1233" s="1">
        <v>17</v>
      </c>
      <c r="E1233" s="1">
        <v>13</v>
      </c>
      <c r="F1233" s="1">
        <v>2</v>
      </c>
      <c r="G1233" s="2">
        <v>11</v>
      </c>
      <c r="H1233" s="2">
        <v>13</v>
      </c>
      <c r="I1233" s="2">
        <v>14</v>
      </c>
      <c r="J1233" s="2">
        <v>1228</v>
      </c>
      <c r="K1233" s="2">
        <v>13</v>
      </c>
    </row>
    <row r="1236" spans="2:11" x14ac:dyDescent="0.15">
      <c r="B1236" s="1" t="s">
        <v>282</v>
      </c>
      <c r="C1236" s="1" t="s">
        <v>283</v>
      </c>
      <c r="D1236" s="1">
        <f>ROWS(B6:D10)</f>
        <v>5</v>
      </c>
    </row>
    <row r="1237" spans="2:11" x14ac:dyDescent="0.15">
      <c r="C1237" s="1" t="s">
        <v>284</v>
      </c>
      <c r="D1237" s="1">
        <v>5</v>
      </c>
    </row>
    <row r="1240" spans="2:11" x14ac:dyDescent="0.15">
      <c r="B1240" s="1" t="s">
        <v>285</v>
      </c>
      <c r="C1240" s="1" t="s">
        <v>286</v>
      </c>
    </row>
    <row r="1241" spans="2:11" x14ac:dyDescent="0.15">
      <c r="C1241" s="1" t="s">
        <v>287</v>
      </c>
    </row>
    <row r="1244" spans="2:11" x14ac:dyDescent="0.15">
      <c r="B1244" s="1" t="s">
        <v>288</v>
      </c>
      <c r="C1244" s="1" t="s">
        <v>289</v>
      </c>
      <c r="D1244" s="1" t="s">
        <v>247</v>
      </c>
    </row>
    <row r="1245" spans="2:11" x14ac:dyDescent="0.15">
      <c r="C1245" s="1" t="s">
        <v>290</v>
      </c>
      <c r="D1245" s="1" t="s">
        <v>247</v>
      </c>
    </row>
    <row r="1248" spans="2:11" x14ac:dyDescent="0.15">
      <c r="B1248" s="1" t="s">
        <v>291</v>
      </c>
      <c r="C1248" s="1" t="s">
        <v>292</v>
      </c>
      <c r="D1248" s="1" t="s">
        <v>247</v>
      </c>
    </row>
    <row r="1249" spans="2:8" x14ac:dyDescent="0.15">
      <c r="C1249" s="1" t="s">
        <v>293</v>
      </c>
      <c r="D1249" s="1" t="s">
        <v>247</v>
      </c>
    </row>
    <row r="1252" spans="2:8" x14ac:dyDescent="0.15">
      <c r="B1252" s="1" t="s">
        <v>294</v>
      </c>
      <c r="C1252" s="1" t="s">
        <v>295</v>
      </c>
      <c r="D1252" s="1" t="s">
        <v>247</v>
      </c>
    </row>
    <row r="1253" spans="2:8" x14ac:dyDescent="0.15">
      <c r="C1253" s="1" t="s">
        <v>296</v>
      </c>
      <c r="D1253" s="1" t="s">
        <v>247</v>
      </c>
    </row>
    <row r="1256" spans="2:8" x14ac:dyDescent="0.15">
      <c r="B1256" s="1" t="s">
        <v>297</v>
      </c>
      <c r="C1256" s="1" t="s">
        <v>298</v>
      </c>
      <c r="D1256" s="1">
        <f>SEARCH("n","printer")</f>
        <v>4</v>
      </c>
      <c r="E1256" s="1">
        <f>SEARCH("s",$E$8)</f>
        <v>3</v>
      </c>
      <c r="F1256" s="1">
        <f>SEARCH("S",$E$8)</f>
        <v>3</v>
      </c>
      <c r="G1256" s="1">
        <f>SEARCH("S",$E$8, 4)</f>
        <v>8</v>
      </c>
      <c r="H1256" s="1">
        <f>SEARCH(B8,C8)</f>
        <v>7</v>
      </c>
    </row>
    <row r="1257" spans="2:8" x14ac:dyDescent="0.15">
      <c r="C1257" s="1" t="s">
        <v>299</v>
      </c>
      <c r="D1257" s="1">
        <v>4</v>
      </c>
      <c r="E1257" s="1">
        <v>3</v>
      </c>
      <c r="F1257" s="1">
        <v>3</v>
      </c>
      <c r="G1257" s="1">
        <v>8</v>
      </c>
      <c r="H1257" s="2">
        <v>7</v>
      </c>
    </row>
    <row r="1260" spans="2:8" x14ac:dyDescent="0.15">
      <c r="B1260" s="1" t="s">
        <v>300</v>
      </c>
      <c r="C1260" s="1" t="s">
        <v>301</v>
      </c>
    </row>
    <row r="1261" spans="2:8" x14ac:dyDescent="0.15">
      <c r="C1261" s="1" t="s">
        <v>302</v>
      </c>
    </row>
    <row r="1264" spans="2:8" x14ac:dyDescent="0.15">
      <c r="B1264" s="1" t="s">
        <v>303</v>
      </c>
      <c r="C1264" s="1" t="s">
        <v>304</v>
      </c>
      <c r="D1264" s="1">
        <f>SECOND(0.5)</f>
        <v>0</v>
      </c>
      <c r="E1264" s="1">
        <f>SECOND(TIME(0,0,15))</f>
        <v>15</v>
      </c>
      <c r="F1264" s="1" t="e">
        <f>SECOND(E11)</f>
        <v>#VALUE!</v>
      </c>
    </row>
    <row r="1265" spans="2:6" x14ac:dyDescent="0.15">
      <c r="C1265" s="1" t="s">
        <v>305</v>
      </c>
      <c r="D1265" s="1">
        <v>0</v>
      </c>
      <c r="E1265" s="1">
        <v>15</v>
      </c>
      <c r="F1265" s="1" t="e">
        <v>#VALUE!</v>
      </c>
    </row>
    <row r="1268" spans="2:6" x14ac:dyDescent="0.15">
      <c r="B1268" s="1" t="s">
        <v>306</v>
      </c>
      <c r="C1268" s="1" t="s">
        <v>307</v>
      </c>
    </row>
    <row r="1269" spans="2:6" x14ac:dyDescent="0.15">
      <c r="C1269" s="1" t="s">
        <v>308</v>
      </c>
    </row>
    <row r="1272" spans="2:6" x14ac:dyDescent="0.15">
      <c r="B1272" s="1" t="s">
        <v>309</v>
      </c>
      <c r="C1272" s="1" t="s">
        <v>310</v>
      </c>
    </row>
    <row r="1273" spans="2:6" x14ac:dyDescent="0.15">
      <c r="C1273" s="1" t="s">
        <v>311</v>
      </c>
    </row>
    <row r="1276" spans="2:6" x14ac:dyDescent="0.15">
      <c r="B1276" s="1" t="s">
        <v>312</v>
      </c>
      <c r="C1276" s="1" t="s">
        <v>313</v>
      </c>
      <c r="D1276" s="1" t="s">
        <v>247</v>
      </c>
    </row>
    <row r="1277" spans="2:6" x14ac:dyDescent="0.15">
      <c r="C1277" s="1" t="s">
        <v>314</v>
      </c>
      <c r="D1277" s="1" t="s">
        <v>247</v>
      </c>
    </row>
    <row r="1280" spans="2:6" x14ac:dyDescent="0.15">
      <c r="B1280" s="1" t="s">
        <v>315</v>
      </c>
      <c r="C1280" s="1" t="s">
        <v>316</v>
      </c>
      <c r="D1280" s="1" t="s">
        <v>247</v>
      </c>
    </row>
    <row r="1281" spans="2:16" x14ac:dyDescent="0.15">
      <c r="C1281" s="1" t="s">
        <v>317</v>
      </c>
      <c r="D1281" s="1" t="s">
        <v>247</v>
      </c>
    </row>
    <row r="1284" spans="2:16" x14ac:dyDescent="0.15">
      <c r="B1284" s="1" t="s">
        <v>318</v>
      </c>
      <c r="C1284" s="1" t="s">
        <v>319</v>
      </c>
      <c r="D1284" s="1" t="s">
        <v>247</v>
      </c>
    </row>
    <row r="1285" spans="2:16" x14ac:dyDescent="0.15">
      <c r="C1285" s="1" t="s">
        <v>320</v>
      </c>
      <c r="D1285" s="1" t="s">
        <v>247</v>
      </c>
    </row>
    <row r="1288" spans="2:16" x14ac:dyDescent="0.15">
      <c r="B1288" s="1" t="s">
        <v>321</v>
      </c>
      <c r="C1288" s="1" t="s">
        <v>322</v>
      </c>
      <c r="D1288" s="1">
        <f>SIGN(B7)</f>
        <v>0</v>
      </c>
      <c r="E1288" s="1">
        <f>SIGN(D7)</f>
        <v>0</v>
      </c>
      <c r="F1288" s="1">
        <f>SIGN(B11)</f>
        <v>1</v>
      </c>
      <c r="G1288" s="2">
        <f>SIGN(B12)</f>
        <v>-1</v>
      </c>
      <c r="H1288" s="2">
        <f>SIGN(B16)</f>
        <v>1</v>
      </c>
      <c r="I1288" s="2">
        <f>SIGN(B17)</f>
        <v>0</v>
      </c>
      <c r="J1288" s="2">
        <f>SIGN(C15)</f>
        <v>-1</v>
      </c>
      <c r="K1288" s="2">
        <f>SIGN(E16)</f>
        <v>1</v>
      </c>
      <c r="L1288" s="2" t="e">
        <f>SIGN(E7)</f>
        <v>#VALUE!</v>
      </c>
      <c r="M1288" s="2">
        <f>SIGN(J8:M8)</f>
        <v>1</v>
      </c>
      <c r="N1288" s="2">
        <f>SIGN(J1286:J1289)</f>
        <v>-1</v>
      </c>
      <c r="O1288" s="2" t="e">
        <f>SIGN(N9:O10)</f>
        <v>#VALUE!</v>
      </c>
    </row>
    <row r="1289" spans="2:16" x14ac:dyDescent="0.15">
      <c r="C1289" s="1" t="s">
        <v>323</v>
      </c>
      <c r="D1289" s="1">
        <v>0</v>
      </c>
      <c r="E1289" s="1">
        <v>0</v>
      </c>
      <c r="F1289" s="1">
        <v>1</v>
      </c>
      <c r="G1289" s="2">
        <v>-1</v>
      </c>
      <c r="H1289" s="2">
        <v>1</v>
      </c>
      <c r="I1289" s="2">
        <v>0</v>
      </c>
      <c r="J1289" s="2">
        <v>-1</v>
      </c>
      <c r="K1289" s="2">
        <v>1</v>
      </c>
      <c r="L1289" s="2" t="e">
        <v>#VALUE!</v>
      </c>
      <c r="M1289" s="2">
        <v>1</v>
      </c>
      <c r="N1289" s="2">
        <v>-1</v>
      </c>
      <c r="O1289" s="2" t="e">
        <v>#VALUE!</v>
      </c>
    </row>
    <row r="1292" spans="2:16" x14ac:dyDescent="0.15">
      <c r="B1292" s="1" t="s">
        <v>324</v>
      </c>
      <c r="C1292" s="1" t="s">
        <v>325</v>
      </c>
      <c r="D1292" s="1">
        <f>SIN(B7)</f>
        <v>0</v>
      </c>
      <c r="E1292" s="1">
        <f>SIN(B8)</f>
        <v>0.8414709848078965</v>
      </c>
      <c r="F1292" s="1">
        <f>SIN(B9)</f>
        <v>0.90929742682568171</v>
      </c>
      <c r="G1292" s="2">
        <f>SIN(B13)</f>
        <v>7.0692098333373365E-2</v>
      </c>
      <c r="H1292" s="2">
        <f>SIN(B16)</f>
        <v>0.8414709848078965</v>
      </c>
      <c r="I1292" s="2" t="e">
        <f>SIN(B18)</f>
        <v>#VALUE!</v>
      </c>
      <c r="J1292" s="2">
        <f>SIN(C15)</f>
        <v>-0.84147638778888156</v>
      </c>
      <c r="K1292" s="2" t="e">
        <f>SIN(E7)</f>
        <v>#VALUE!</v>
      </c>
      <c r="L1292" s="2">
        <f>SIN(E16)</f>
        <v>0.89120736006143542</v>
      </c>
      <c r="M1292" s="2">
        <f>SIN(K8:M8)</f>
        <v>0.14112000805986721</v>
      </c>
      <c r="N1292" s="2">
        <f>SIN(L1291:L1293)</f>
        <v>0.77783110790947796</v>
      </c>
      <c r="O1292" s="2" t="e">
        <f>SIN(N8:O9)</f>
        <v>#VALUE!</v>
      </c>
      <c r="P1292" s="2">
        <f>SIN(E15)</f>
        <v>0.8414709848078965</v>
      </c>
    </row>
    <row r="1293" spans="2:16" x14ac:dyDescent="0.15">
      <c r="C1293" s="1" t="s">
        <v>326</v>
      </c>
      <c r="D1293" s="1">
        <v>0</v>
      </c>
      <c r="E1293" s="1">
        <v>0.8414709848078965</v>
      </c>
      <c r="F1293" s="1">
        <v>0.90929742682568171</v>
      </c>
      <c r="G1293" s="2">
        <v>7.0692098333373365E-2</v>
      </c>
      <c r="H1293" s="2">
        <v>0.8414709848078965</v>
      </c>
      <c r="I1293" s="2" t="e">
        <v>#VALUE!</v>
      </c>
      <c r="J1293" s="2">
        <v>-0.84147638778888156</v>
      </c>
      <c r="K1293" s="2" t="e">
        <v>#VALUE!</v>
      </c>
      <c r="L1293" s="2">
        <v>0.89120736006143542</v>
      </c>
      <c r="M1293" s="2">
        <v>0.14112000805986721</v>
      </c>
      <c r="N1293" s="2">
        <v>0.77783110790947796</v>
      </c>
      <c r="O1293" s="2" t="e">
        <v>#VALUE!</v>
      </c>
      <c r="P1293" s="2">
        <v>0.8414709848078965</v>
      </c>
    </row>
    <row r="1296" spans="2:16" x14ac:dyDescent="0.15">
      <c r="B1296" s="1" t="s">
        <v>327</v>
      </c>
      <c r="C1296" s="1" t="s">
        <v>328</v>
      </c>
      <c r="D1296" s="1">
        <f>SINH(B7)</f>
        <v>0</v>
      </c>
      <c r="E1296" s="1">
        <f>SINH(B9)</f>
        <v>3.626860407847019</v>
      </c>
      <c r="F1296" s="1">
        <f>SINH(B14)</f>
        <v>-3.626860407847019</v>
      </c>
      <c r="G1296" s="2">
        <f>SINH(B16)</f>
        <v>1.1752011936438014</v>
      </c>
      <c r="H1296" s="2" t="e">
        <f>SINH(B18)</f>
        <v>#VALUE!</v>
      </c>
      <c r="I1296" s="2">
        <f>SINH(D7)</f>
        <v>0</v>
      </c>
      <c r="J1296" s="2" t="e">
        <f>SINH(E7)</f>
        <v>#VALUE!</v>
      </c>
      <c r="K1296" s="2">
        <f>SINH(E15)</f>
        <v>1.1752011936438014</v>
      </c>
      <c r="L1296" s="2">
        <f>SINH(F8)</f>
        <v>1.1752011936438014</v>
      </c>
      <c r="M1296" s="2">
        <f>SINH(K8:M8)</f>
        <v>10.017874927409903</v>
      </c>
      <c r="N1296" s="2">
        <f>SINH(L1295:L1297)</f>
        <v>1.4650188248182272</v>
      </c>
      <c r="O1296" s="2" t="e">
        <f>SINH(N8:O9)</f>
        <v>#VALUE!</v>
      </c>
    </row>
    <row r="1297" spans="2:15" x14ac:dyDescent="0.15">
      <c r="C1297" s="1" t="s">
        <v>329</v>
      </c>
      <c r="D1297" s="1">
        <v>0</v>
      </c>
      <c r="E1297" s="1">
        <v>3.626860407847019</v>
      </c>
      <c r="F1297" s="1">
        <v>-3.626860407847019</v>
      </c>
      <c r="G1297" s="2">
        <v>1.1752011936438014</v>
      </c>
      <c r="H1297" s="2" t="e">
        <v>#VALUE!</v>
      </c>
      <c r="I1297" s="2">
        <v>0</v>
      </c>
      <c r="J1297" s="2" t="e">
        <v>#VALUE!</v>
      </c>
      <c r="K1297" s="2">
        <v>1.1752011936438014</v>
      </c>
      <c r="L1297" s="2">
        <v>1.1752011936438014</v>
      </c>
      <c r="M1297" s="2">
        <v>10.017874927409903</v>
      </c>
      <c r="N1297" s="2">
        <v>1.4650188248182272</v>
      </c>
      <c r="O1297" s="2" t="e">
        <v>#VALUE!</v>
      </c>
    </row>
    <row r="1300" spans="2:15" x14ac:dyDescent="0.15">
      <c r="B1300" s="1" t="s">
        <v>330</v>
      </c>
      <c r="C1300" s="1" t="s">
        <v>331</v>
      </c>
    </row>
    <row r="1301" spans="2:15" x14ac:dyDescent="0.15">
      <c r="C1301" s="1" t="s">
        <v>332</v>
      </c>
    </row>
    <row r="1304" spans="2:15" x14ac:dyDescent="0.15">
      <c r="B1304" s="1" t="s">
        <v>333</v>
      </c>
      <c r="C1304" s="1" t="s">
        <v>334</v>
      </c>
    </row>
    <row r="1305" spans="2:15" x14ac:dyDescent="0.15">
      <c r="C1305" s="1" t="s">
        <v>335</v>
      </c>
    </row>
    <row r="1308" spans="2:15" x14ac:dyDescent="0.15">
      <c r="B1308" s="1" t="s">
        <v>336</v>
      </c>
      <c r="C1308" s="1" t="s">
        <v>337</v>
      </c>
      <c r="D1308" s="66">
        <f>SLOPE(K7:K10,L7:L10)</f>
        <v>0.84645155734149757</v>
      </c>
      <c r="E1308" s="66">
        <f>SLOPE(L7:L10,K7:K10)</f>
        <v>1.0997100000000002</v>
      </c>
    </row>
    <row r="1309" spans="2:15" x14ac:dyDescent="0.15">
      <c r="C1309" s="1" t="s">
        <v>338</v>
      </c>
      <c r="D1309" s="66">
        <v>0.84645155734149757</v>
      </c>
      <c r="E1309" s="66">
        <v>1.0997100000000002</v>
      </c>
    </row>
    <row r="1312" spans="2:15" x14ac:dyDescent="0.15">
      <c r="B1312" s="1" t="s">
        <v>38</v>
      </c>
      <c r="C1312" s="1" t="s">
        <v>39</v>
      </c>
      <c r="D1312" s="1">
        <f>SMALL(B7:B17,5)</f>
        <v>0</v>
      </c>
      <c r="E1312" s="1">
        <f>SMALL(C7:C14,6)</f>
        <v>1.1000000000000001</v>
      </c>
      <c r="F1312" s="1">
        <f>SMALL(C7:D11,3)</f>
        <v>1.0000100000000001</v>
      </c>
      <c r="G1312" s="2" t="e">
        <f>SMALL(D7:E10,2)</f>
        <v>#NUM!</v>
      </c>
      <c r="H1312" s="2">
        <f>SMALL(E8:F10,3)</f>
        <v>9999999999</v>
      </c>
      <c r="I1312" s="2">
        <f>SMALL(C10:D15,4)</f>
        <v>1.0000100000000001</v>
      </c>
      <c r="J1312" s="2">
        <f>SMALL(E10:F11,1)</f>
        <v>0</v>
      </c>
      <c r="K1312" s="2" t="e">
        <f>SMALL(C7:C10,100)</f>
        <v>#NUM!</v>
      </c>
    </row>
    <row r="1313" spans="2:16" x14ac:dyDescent="0.15">
      <c r="C1313" s="1" t="s">
        <v>40</v>
      </c>
      <c r="D1313" s="1">
        <v>0</v>
      </c>
      <c r="E1313" s="1">
        <v>1.1000000000000001</v>
      </c>
      <c r="F1313" s="1">
        <v>1.0000100000000001</v>
      </c>
      <c r="G1313" s="2" t="e">
        <v>#NUM!</v>
      </c>
      <c r="H1313" s="2">
        <v>9999999999</v>
      </c>
      <c r="I1313" s="2">
        <v>1.0000100000000001</v>
      </c>
      <c r="J1313" s="2">
        <v>0</v>
      </c>
      <c r="K1313" s="2" t="e">
        <v>#NUM!</v>
      </c>
    </row>
    <row r="1316" spans="2:16" x14ac:dyDescent="0.15">
      <c r="B1316" s="1" t="s">
        <v>41</v>
      </c>
      <c r="C1316" s="1" t="s">
        <v>42</v>
      </c>
      <c r="D1316" s="1" t="s">
        <v>247</v>
      </c>
    </row>
    <row r="1317" spans="2:16" x14ac:dyDescent="0.15">
      <c r="C1317" s="1" t="s">
        <v>43</v>
      </c>
      <c r="D1317" s="1" t="s">
        <v>247</v>
      </c>
    </row>
    <row r="1320" spans="2:16" x14ac:dyDescent="0.15">
      <c r="B1320" s="1" t="s">
        <v>44</v>
      </c>
      <c r="C1320" s="1" t="s">
        <v>45</v>
      </c>
      <c r="D1320" s="1">
        <f>SQRT(16)</f>
        <v>4</v>
      </c>
      <c r="E1320" s="1">
        <f>SQRT(B7)</f>
        <v>0</v>
      </c>
      <c r="F1320" s="1">
        <f>SQRT(B8)</f>
        <v>1</v>
      </c>
      <c r="G1320" s="2">
        <f>SQRT(C9)</f>
        <v>1.0488088481701516</v>
      </c>
      <c r="H1320" s="2" t="e">
        <f>SQRT(C16)</f>
        <v>#NUM!</v>
      </c>
      <c r="I1320" s="2" t="e">
        <f>SQRT(-4)</f>
        <v>#NUM!</v>
      </c>
      <c r="J1320" s="2">
        <f>SQRT(B16)</f>
        <v>1</v>
      </c>
      <c r="K1320" s="2">
        <f>SQRT(E13)</f>
        <v>0</v>
      </c>
      <c r="L1320" s="2" t="e">
        <f>SQRT(E7)</f>
        <v>#VALUE!</v>
      </c>
      <c r="M1320" s="2">
        <f>SQRT(K13)</f>
        <v>0</v>
      </c>
      <c r="N1320" s="2">
        <f>SQRT(L10:N10)</f>
        <v>3.1622776601683794E-3</v>
      </c>
      <c r="O1320" s="2">
        <f>SQRT(J1319:J1321)</f>
        <v>1</v>
      </c>
      <c r="P1320" s="2" t="e">
        <f>SQRT(O7:P8)</f>
        <v>#VALUE!</v>
      </c>
    </row>
    <row r="1321" spans="2:16" x14ac:dyDescent="0.15">
      <c r="C1321" s="1" t="s">
        <v>46</v>
      </c>
      <c r="D1321" s="1">
        <v>4</v>
      </c>
      <c r="E1321" s="1">
        <v>0</v>
      </c>
      <c r="F1321" s="1">
        <v>1</v>
      </c>
      <c r="G1321" s="2">
        <v>1.0488088481701516</v>
      </c>
      <c r="H1321" s="2" t="e">
        <v>#NUM!</v>
      </c>
      <c r="I1321" s="2" t="e">
        <v>#NUM!</v>
      </c>
      <c r="J1321" s="2">
        <v>1</v>
      </c>
      <c r="K1321" s="2">
        <v>0</v>
      </c>
      <c r="L1321" s="2" t="e">
        <v>#VALUE!</v>
      </c>
      <c r="M1321" s="2">
        <v>0</v>
      </c>
      <c r="N1321" s="2">
        <v>3.1622776601683794E-3</v>
      </c>
      <c r="O1321" s="2">
        <v>1</v>
      </c>
      <c r="P1321" s="2" t="e">
        <v>#VALUE!</v>
      </c>
    </row>
    <row r="1324" spans="2:16" x14ac:dyDescent="0.15">
      <c r="B1324" s="1" t="s">
        <v>47</v>
      </c>
      <c r="C1324" s="1" t="s">
        <v>48</v>
      </c>
    </row>
    <row r="1325" spans="2:16" x14ac:dyDescent="0.15">
      <c r="C1325" s="1" t="s">
        <v>49</v>
      </c>
    </row>
    <row r="1328" spans="2:16" x14ac:dyDescent="0.15">
      <c r="B1328" s="1" t="s">
        <v>50</v>
      </c>
      <c r="C1328" s="1" t="s">
        <v>51</v>
      </c>
      <c r="D1328" s="1">
        <f>STDEV(B7:B9,C7:C9,C10:C11)</f>
        <v>1.0696254184317784</v>
      </c>
      <c r="E1328" s="1">
        <f>STDEV(B14:B16,D15:D17,E15)</f>
        <v>0.70710678118654757</v>
      </c>
      <c r="F1328" s="1" t="e">
        <f>STDEV(E15:E17)</f>
        <v>#DIV/0!</v>
      </c>
      <c r="G1328" s="2">
        <f>STDEV("1","2")</f>
        <v>0.70710678118654757</v>
      </c>
      <c r="H1328" s="2" t="e">
        <f>STDEV(D14:D15,E13)</f>
        <v>#DIV/0!</v>
      </c>
      <c r="I1328" s="2">
        <f>STDEV(F10,F8)</f>
        <v>0.70709971011873562</v>
      </c>
      <c r="J1328" s="2">
        <f>STDEV(F8:G10)</f>
        <v>4472135954.0664005</v>
      </c>
      <c r="K1328" s="2">
        <f>STDEV(TRUE, FALSE, TRUE)</f>
        <v>0.57735026918962584</v>
      </c>
      <c r="L1328" s="2">
        <f>STDEV(1,2,3,E20)</f>
        <v>1</v>
      </c>
    </row>
    <row r="1329" spans="2:12" x14ac:dyDescent="0.15">
      <c r="C1329" s="1" t="s">
        <v>52</v>
      </c>
      <c r="D1329" s="1">
        <v>1.0696254184317784</v>
      </c>
      <c r="E1329" s="1">
        <v>0.70710678118654757</v>
      </c>
      <c r="F1329" s="1" t="e">
        <v>#DIV/0!</v>
      </c>
      <c r="G1329" s="2">
        <v>0.70710678118654757</v>
      </c>
      <c r="H1329" s="2" t="e">
        <v>#DIV/0!</v>
      </c>
      <c r="I1329" s="2">
        <v>0.70709971011873562</v>
      </c>
      <c r="J1329" s="2">
        <v>4472135954.0664005</v>
      </c>
      <c r="K1329" s="2">
        <v>0.57735026918962584</v>
      </c>
      <c r="L1329" s="2">
        <v>1</v>
      </c>
    </row>
    <row r="1332" spans="2:12" x14ac:dyDescent="0.15">
      <c r="B1332" s="1" t="s">
        <v>53</v>
      </c>
      <c r="C1332" s="1" t="s">
        <v>54</v>
      </c>
    </row>
    <row r="1333" spans="2:12" x14ac:dyDescent="0.15">
      <c r="C1333" s="1" t="s">
        <v>55</v>
      </c>
    </row>
    <row r="1336" spans="2:12" x14ac:dyDescent="0.15">
      <c r="B1336" s="1" t="s">
        <v>56</v>
      </c>
      <c r="C1336" s="1" t="s">
        <v>57</v>
      </c>
    </row>
    <row r="1337" spans="2:12" x14ac:dyDescent="0.15">
      <c r="C1337" s="1" t="s">
        <v>58</v>
      </c>
    </row>
    <row r="1340" spans="2:12" x14ac:dyDescent="0.15">
      <c r="B1340" s="1" t="s">
        <v>59</v>
      </c>
      <c r="C1340" s="1" t="s">
        <v>60</v>
      </c>
    </row>
    <row r="1341" spans="2:12" x14ac:dyDescent="0.15">
      <c r="C1341" s="1" t="s">
        <v>61</v>
      </c>
    </row>
    <row r="1344" spans="2:12" x14ac:dyDescent="0.15">
      <c r="B1344" s="1" t="s">
        <v>62</v>
      </c>
      <c r="C1344" s="1" t="s">
        <v>63</v>
      </c>
    </row>
    <row r="1345" spans="1:25" x14ac:dyDescent="0.15">
      <c r="C1345" s="1" t="s">
        <v>366</v>
      </c>
    </row>
    <row r="1348" spans="1:25" x14ac:dyDescent="0.15">
      <c r="B1348" s="1" t="s">
        <v>367</v>
      </c>
      <c r="C1348" s="1" t="s">
        <v>368</v>
      </c>
    </row>
    <row r="1349" spans="1:25" x14ac:dyDescent="0.15">
      <c r="C1349" s="1" t="s">
        <v>369</v>
      </c>
    </row>
    <row r="1352" spans="1:25" s="23" customFormat="1" x14ac:dyDescent="0.15">
      <c r="A1352" s="22"/>
      <c r="B1352" s="22" t="s">
        <v>370</v>
      </c>
      <c r="C1352" s="22" t="s">
        <v>1052</v>
      </c>
      <c r="D1352" s="22" t="str">
        <f>SUBSTITUTE(E12,"n","N")</f>
        <v>NoN-Numeric</v>
      </c>
      <c r="E1352" s="22" t="str">
        <f>SUBSTITUTE("ISCASESENSITIVE","case","CASE")</f>
        <v>ISCASESENSITIVE</v>
      </c>
      <c r="F1352" s="22" t="str">
        <f>SUBSTITUTE("teststr","t","T",1.9)</f>
        <v>Teststr</v>
      </c>
      <c r="G1352" s="22" t="e">
        <f>SUBSTITUTE("teststr","t","T",0)</f>
        <v>#VALUE!</v>
      </c>
      <c r="H1352" s="22" t="str">
        <f>SUBSTITUTE("teststr","z","T",1)</f>
        <v>teststr</v>
      </c>
      <c r="I1352" s="22" t="str">
        <f>SUBSTITUTE("testaatestbbtestcc","test","testtest")</f>
        <v>testtestaatesttestbbtesttestcc</v>
      </c>
      <c r="K1352" s="23" t="str">
        <f>SUBSTITUTE("matchlastchar", "r", "R")</f>
        <v>matchlastchaR</v>
      </c>
      <c r="L1352" s="23" t="str">
        <f>SUBSTITUTE("nomatch", "zzz", "ZZZ")</f>
        <v>nomatch</v>
      </c>
      <c r="M1352" s="23" t="str">
        <f>SUBSTITUTE("regex**chars", "*", "T")</f>
        <v>regexTTchars</v>
      </c>
      <c r="N1352" s="23" t="str">
        <f>SUBSTITUTE("1.11", "1", "2", 1)</f>
        <v>2.11</v>
      </c>
      <c r="O1352" s="23" t="str">
        <f>SUBSTITUTE(E7, "1", "2", 1)</f>
        <v/>
      </c>
      <c r="P1352" s="23" t="str">
        <f>SUBSTITUTE("testblankmatch", "", "!", 1)</f>
        <v>testblankmatch</v>
      </c>
      <c r="Q1352" s="23" t="str">
        <f>SUBSTITUTE("   ", " ", "*")</f>
        <v>***</v>
      </c>
      <c r="R1352" s="23" t="str">
        <f>SUBSTITUTE("testblanknewstr", "t", E7)</f>
        <v>esblanknewsr</v>
      </c>
      <c r="S1352" s="23" t="str">
        <f>SUBSTITUTE("   ", " ", "")</f>
        <v/>
      </c>
      <c r="T1352" s="23" t="str">
        <f>SUBSTITUTE("   ", " ", "", 1)</f>
        <v xml:space="preserve">  </v>
      </c>
      <c r="U1352" s="23" t="str">
        <f>SUBSTITUTE("ABCBBDBEB", "B", "x", 1)</f>
        <v>AxCBBDBEB</v>
      </c>
      <c r="V1352" s="23" t="e">
        <f>SUBSTITUTE("ABCBBDBEB", "B", "x", 0)</f>
        <v>#VALUE!</v>
      </c>
      <c r="W1352" s="23" t="e">
        <f>SUBSTITUTE("ABCBBDBEB", "B", "x", -1)</f>
        <v>#VALUE!</v>
      </c>
      <c r="X1352" s="23" t="str">
        <f>SUBSTITUTE("ABCBBDBEB", "B", "x", 3)</f>
        <v>ABCBxDBEB</v>
      </c>
      <c r="Y1352" s="23" t="str">
        <f>SUBSTITUTE("ABCBBDBEB", "B", "x", 7)</f>
        <v>ABCBBDBEB</v>
      </c>
    </row>
    <row r="1353" spans="1:25" s="23" customFormat="1" x14ac:dyDescent="0.15">
      <c r="A1353" s="22"/>
      <c r="B1353" s="22"/>
      <c r="C1353" s="22" t="s">
        <v>1050</v>
      </c>
      <c r="D1353" s="22" t="s">
        <v>25</v>
      </c>
      <c r="E1353" s="22" t="s">
        <v>26</v>
      </c>
      <c r="F1353" s="22" t="s">
        <v>27</v>
      </c>
      <c r="G1353" s="23" t="e">
        <v>#VALUE!</v>
      </c>
      <c r="H1353" s="23" t="s">
        <v>28</v>
      </c>
      <c r="I1353" s="23" t="s">
        <v>29</v>
      </c>
      <c r="K1353" s="23" t="s">
        <v>30</v>
      </c>
      <c r="L1353" s="23" t="s">
        <v>31</v>
      </c>
      <c r="M1353" s="23" t="s">
        <v>32</v>
      </c>
      <c r="N1353" s="24" t="s">
        <v>33</v>
      </c>
      <c r="O1353" s="23" t="s">
        <v>229</v>
      </c>
      <c r="P1353" s="23" t="s">
        <v>34</v>
      </c>
      <c r="Q1353" s="23" t="s">
        <v>35</v>
      </c>
      <c r="R1353" s="23" t="s">
        <v>36</v>
      </c>
      <c r="S1353" s="23" t="s">
        <v>229</v>
      </c>
      <c r="T1353" s="27" t="s">
        <v>37</v>
      </c>
      <c r="U1353" s="23" t="s">
        <v>1205</v>
      </c>
      <c r="V1353" s="23" t="e">
        <v>#VALUE!</v>
      </c>
      <c r="W1353" s="23" t="e">
        <v>#VALUE!</v>
      </c>
      <c r="X1353" s="23" t="s">
        <v>1207</v>
      </c>
      <c r="Y1353" s="23" t="s">
        <v>1206</v>
      </c>
    </row>
    <row r="1356" spans="1:25" x14ac:dyDescent="0.15">
      <c r="B1356" s="1" t="s">
        <v>371</v>
      </c>
      <c r="C1356" s="1" t="s">
        <v>372</v>
      </c>
      <c r="D1356" s="1">
        <f>SUBTOTAL(9,B7:B9)</f>
        <v>3</v>
      </c>
      <c r="E1356" s="1">
        <f>SUBTOTAL(1,$B$7:$B$9)</f>
        <v>1</v>
      </c>
      <c r="F1356" s="1">
        <f>SUBTOTAL(2,$B$7:$B$9)</f>
        <v>3</v>
      </c>
      <c r="G1356" s="1">
        <f>SUBTOTAL(4,$B$7:$B$9)</f>
        <v>2</v>
      </c>
      <c r="H1356" s="1">
        <f>SUBTOTAL(5,$B$7:$B$9)</f>
        <v>0</v>
      </c>
    </row>
    <row r="1357" spans="1:25" x14ac:dyDescent="0.15">
      <c r="C1357" s="1" t="s">
        <v>373</v>
      </c>
      <c r="D1357" s="1">
        <v>3</v>
      </c>
      <c r="E1357" s="1">
        <v>1</v>
      </c>
      <c r="F1357" s="1">
        <v>3</v>
      </c>
      <c r="G1357" s="2">
        <v>2</v>
      </c>
      <c r="H1357" s="2">
        <v>0</v>
      </c>
    </row>
    <row r="1360" spans="1:25" x14ac:dyDescent="0.15">
      <c r="B1360" s="1" t="s">
        <v>374</v>
      </c>
      <c r="C1360" s="1" t="s">
        <v>375</v>
      </c>
      <c r="D1360" s="1">
        <f>SUM(B8:B11,C10,E17,E14,D16,B16,B18)</f>
        <v>10000000537.00001</v>
      </c>
      <c r="E1360" s="1">
        <f>SUM(B8:E10,E9:E16,G12)</f>
        <v>539.10001999999997</v>
      </c>
      <c r="F1360" s="1">
        <f>SUM(F13,F10)</f>
        <v>1.0000000000000001E-5</v>
      </c>
      <c r="G1360" s="2">
        <f>SUM(E15:E17)</f>
        <v>0</v>
      </c>
      <c r="H1360" s="2">
        <f>SUM("-23",E15,C13:C15,B9:D9)</f>
        <v>-1000023.8999900001</v>
      </c>
      <c r="I1360" s="2">
        <f>SUM(G8:I10,I12,J11,J10)</f>
        <v>475.98120999999998</v>
      </c>
      <c r="J1360" s="2">
        <f>SUM("1", "1.1", "2.99999")</f>
        <v>5.09999</v>
      </c>
    </row>
    <row r="1361" spans="2:14" x14ac:dyDescent="0.15">
      <c r="C1361" s="1" t="s">
        <v>376</v>
      </c>
      <c r="D1361" s="1">
        <v>10000000537.00001</v>
      </c>
      <c r="E1361" s="1">
        <v>539.10001999999997</v>
      </c>
      <c r="F1361" s="1">
        <v>1.0000000000000001E-5</v>
      </c>
      <c r="G1361" s="2">
        <v>0</v>
      </c>
      <c r="H1361" s="2">
        <v>-1000023.8999900001</v>
      </c>
      <c r="I1361" s="2">
        <v>475.98120999999998</v>
      </c>
      <c r="J1361" s="2">
        <v>5.09999</v>
      </c>
    </row>
    <row r="1364" spans="2:14" x14ac:dyDescent="0.15">
      <c r="B1364" s="1" t="s">
        <v>377</v>
      </c>
      <c r="C1364" s="1" t="s">
        <v>378</v>
      </c>
      <c r="D1364" s="1">
        <f>SUMIF(G7:J9, "&lt;3")</f>
        <v>9.345600000000001</v>
      </c>
      <c r="E1364" s="1">
        <f ca="1">SUMIF(AA7:AA13,C10:D10, C7)</f>
        <v>1.1000000000000001</v>
      </c>
    </row>
    <row r="1365" spans="2:14" x14ac:dyDescent="0.15">
      <c r="C1365" s="1" t="s">
        <v>379</v>
      </c>
      <c r="D1365" s="1">
        <v>9.3455999999999992</v>
      </c>
      <c r="E1365" s="1">
        <v>1.1000000000000001</v>
      </c>
    </row>
    <row r="1368" spans="2:14" x14ac:dyDescent="0.15">
      <c r="B1368" s="1" t="s">
        <v>380</v>
      </c>
      <c r="C1368" s="1" t="s">
        <v>381</v>
      </c>
      <c r="D1368" s="1">
        <f>SUMPRODUCT(B8:B9)</f>
        <v>3</v>
      </c>
      <c r="E1368" s="1">
        <f>SUMPRODUCT(B8:B10,C8:C10)</f>
        <v>536.20535000000007</v>
      </c>
      <c r="F1368" s="1">
        <f>SUMPRODUCT(B9:B10,C9:C10)</f>
        <v>536.20534000000009</v>
      </c>
      <c r="G1368" s="2">
        <f>SUMPRODUCT(3,B10,C9)</f>
        <v>1762.2</v>
      </c>
      <c r="H1368" s="2">
        <f>SUMPRODUCT(C9:C9,3,B10,C9:C9)</f>
        <v>1938.4200000000003</v>
      </c>
      <c r="I1368" s="2" t="e">
        <f>SUMPRODUCT(2, C10:C11)</f>
        <v>#VALUE!</v>
      </c>
      <c r="J1368" s="1">
        <f>SUMPRODUCT(G1370:G1370,I1370:I1370)</f>
        <v>0</v>
      </c>
      <c r="K1368" s="2" t="e">
        <f>SUMPRODUCT(I1370:J1370,K1370:L1370)</f>
        <v>#REF!</v>
      </c>
      <c r="L1368" s="2" t="e">
        <f>SUMPRODUCT(K1370,J1370)</f>
        <v>#REF!</v>
      </c>
    </row>
    <row r="1369" spans="2:14" x14ac:dyDescent="0.15">
      <c r="C1369" s="1" t="s">
        <v>382</v>
      </c>
      <c r="D1369" s="1">
        <v>3</v>
      </c>
      <c r="E1369" s="1">
        <v>536.20535000000007</v>
      </c>
      <c r="F1369" s="1">
        <v>536.20534000000009</v>
      </c>
      <c r="G1369" s="2">
        <v>1762.2</v>
      </c>
      <c r="H1369" s="2">
        <v>1938.4200000000003</v>
      </c>
      <c r="I1369" s="2" t="e">
        <v>#VALUE!</v>
      </c>
      <c r="J1369" s="1" t="e">
        <v>#VALUE!</v>
      </c>
      <c r="K1369" s="2" t="e">
        <v>#REF!</v>
      </c>
      <c r="L1369" s="2" t="e">
        <v>#REF!</v>
      </c>
    </row>
    <row r="1370" spans="2:14" x14ac:dyDescent="0.15">
      <c r="F1370" s="32"/>
      <c r="G1370" s="32" t="s">
        <v>1195</v>
      </c>
      <c r="I1370" s="2">
        <v>2</v>
      </c>
      <c r="J1370" s="2">
        <v>3</v>
      </c>
      <c r="K1370" s="2" t="e">
        <f>AA10</f>
        <v>#REF!</v>
      </c>
      <c r="L1370" s="2">
        <v>5</v>
      </c>
    </row>
    <row r="1372" spans="2:14" x14ac:dyDescent="0.15">
      <c r="B1372" s="1" t="s">
        <v>383</v>
      </c>
      <c r="C1372" s="1" t="s">
        <v>384</v>
      </c>
      <c r="D1372" s="1">
        <f>SUMSQ(B8:B10)</f>
        <v>285161</v>
      </c>
      <c r="E1372" s="1">
        <f>SUMSQ(C7:C11)</f>
        <v>11.209960000299999</v>
      </c>
      <c r="F1372" s="1">
        <f>SUMSQ(C7:D9)</f>
        <v>1.2100000001000002</v>
      </c>
      <c r="G1372" s="2">
        <f>SUMSQ(C11,C10,C9,D15)</f>
        <v>11.209960000199999</v>
      </c>
      <c r="H1372" s="2">
        <f>SUMSQ(B8:D9,E15,F13)</f>
        <v>6.2100000001</v>
      </c>
      <c r="I1372" s="2">
        <f>SUMSQ(G8:I9)</f>
        <v>71.94652146</v>
      </c>
      <c r="J1372" s="2">
        <f>SUMSQ(E13:F14)</f>
        <v>0</v>
      </c>
      <c r="K1372" s="2">
        <f>SUMSQ(E13:E16)</f>
        <v>0</v>
      </c>
      <c r="L1372" s="2">
        <f>SUMSQ(F10:I14)</f>
        <v>622175.00000000012</v>
      </c>
      <c r="M1372" s="2">
        <f>SUMSQ(TRUE, TRUE, FALSE)</f>
        <v>2</v>
      </c>
      <c r="N1372" s="2">
        <f>SUMSQ("2", "3", 4)</f>
        <v>29</v>
      </c>
    </row>
    <row r="1373" spans="2:14" x14ac:dyDescent="0.15">
      <c r="C1373" s="1" t="s">
        <v>385</v>
      </c>
      <c r="D1373" s="1">
        <v>285161</v>
      </c>
      <c r="E1373" s="1">
        <v>11.209960000299999</v>
      </c>
      <c r="F1373" s="1">
        <v>1.2100000001000002</v>
      </c>
      <c r="G1373" s="2">
        <v>11.209960000199999</v>
      </c>
      <c r="H1373" s="2">
        <v>6.2100000001</v>
      </c>
      <c r="I1373" s="2">
        <v>71.94652146</v>
      </c>
      <c r="J1373" s="2">
        <v>0</v>
      </c>
      <c r="K1373" s="2">
        <v>0</v>
      </c>
      <c r="L1373" s="2">
        <v>622175</v>
      </c>
      <c r="M1373" s="2">
        <v>2</v>
      </c>
      <c r="N1373" s="2">
        <v>29</v>
      </c>
    </row>
    <row r="1376" spans="2:14" x14ac:dyDescent="0.15">
      <c r="B1376" s="1" t="s">
        <v>386</v>
      </c>
      <c r="C1376" s="1" t="s">
        <v>387</v>
      </c>
      <c r="D1376" s="1">
        <f>SUMX2MY2(B7:C10,C8:D11)</f>
        <v>285149.7900399997</v>
      </c>
      <c r="E1376" s="1" t="e">
        <f>SUMX2MY2(D8:E11,C8:D11)</f>
        <v>#DIV/0!</v>
      </c>
      <c r="F1376" s="1">
        <f>SUMX2MY2(G7:I9,H7:J9)</f>
        <v>-74.836680639999997</v>
      </c>
      <c r="G1376" s="2" t="e">
        <f>SUMX2MY2(E8:E14,F8:F14)</f>
        <v>#DIV/0!</v>
      </c>
      <c r="H1376" s="2">
        <f>SUMX2MY2(B8:B10,G8:I8)</f>
        <v>285138.753998</v>
      </c>
      <c r="I1376" s="2">
        <f>SUMX2MY2(G8:G11,H8:H11)</f>
        <v>-14.438935530000002</v>
      </c>
      <c r="J1376" s="2" t="e">
        <f>SUMX2MY2(H8:H10,G7:G8)</f>
        <v>#N/A</v>
      </c>
      <c r="K1376" s="2">
        <f>SUMX2MY2(G8,H8)</f>
        <v>-7.9920000000000009</v>
      </c>
      <c r="L1376" s="2">
        <f>SUMX2MY2(AC7:AJ12,AD7:AK12)</f>
        <v>-2304</v>
      </c>
      <c r="M1376" s="2" t="e">
        <f>SUMX2MY2(AA10:AA11,AA11:AA12)</f>
        <v>#REF!</v>
      </c>
    </row>
    <row r="1377" spans="2:15" x14ac:dyDescent="0.15">
      <c r="C1377" s="1" t="s">
        <v>388</v>
      </c>
      <c r="D1377" s="1">
        <v>285149.7900399997</v>
      </c>
      <c r="E1377" s="1" t="e">
        <v>#DIV/0!</v>
      </c>
      <c r="F1377" s="1">
        <v>-74.836680639999997</v>
      </c>
      <c r="G1377" s="2" t="e">
        <v>#DIV/0!</v>
      </c>
      <c r="H1377" s="2">
        <v>285138.753998</v>
      </c>
      <c r="I1377" s="2">
        <v>-14.438935530000002</v>
      </c>
      <c r="J1377" s="2" t="e">
        <v>#N/A</v>
      </c>
      <c r="K1377" s="2">
        <v>-7.9920000000000009</v>
      </c>
      <c r="L1377" s="2">
        <v>-2304</v>
      </c>
      <c r="M1377" s="2" t="e">
        <v>#REF!</v>
      </c>
    </row>
    <row r="1380" spans="2:15" x14ac:dyDescent="0.15">
      <c r="B1380" s="1" t="s">
        <v>389</v>
      </c>
      <c r="C1380" s="1" t="s">
        <v>390</v>
      </c>
      <c r="D1380" s="1">
        <f>SUMX2PY2(B7:B10,C8:C11)</f>
        <v>285172.2099600003</v>
      </c>
      <c r="E1380" s="1">
        <f>SUMX2PY2(C8:C10,B15:D15)</f>
        <v>3.2100200002000001</v>
      </c>
      <c r="F1380" s="1" t="e">
        <f>SUMX2PY2(B16:D16,B16:B18)</f>
        <v>#DIV/0!</v>
      </c>
      <c r="G1380" s="2" t="e">
        <f>SUMX2PY2(B14:B16,E15:E17)</f>
        <v>#DIV/0!</v>
      </c>
      <c r="H1380" s="2">
        <f>SUMX2PY2(B7:B9,B16:D16)</f>
        <v>2.21</v>
      </c>
      <c r="I1380" s="2">
        <f>SUMX2PY2(G7:H9,H7:I9)</f>
        <v>110.88929734999999</v>
      </c>
      <c r="J1380" s="2">
        <f>SUMX2PY2(G7:H9,J7:J12)</f>
        <v>105.79313625010001</v>
      </c>
      <c r="K1380" s="2" t="e">
        <f>SUMX2PY2(E7:E10,D7:D10)</f>
        <v>#DIV/0!</v>
      </c>
    </row>
    <row r="1381" spans="2:15" x14ac:dyDescent="0.15">
      <c r="C1381" s="1" t="s">
        <v>106</v>
      </c>
      <c r="D1381" s="1">
        <v>285172.2099600003</v>
      </c>
      <c r="E1381" s="1">
        <v>3.2100200002000001</v>
      </c>
      <c r="F1381" s="1" t="e">
        <v>#DIV/0!</v>
      </c>
      <c r="G1381" s="2" t="e">
        <v>#DIV/0!</v>
      </c>
      <c r="H1381" s="2">
        <v>2.21</v>
      </c>
      <c r="I1381" s="2">
        <v>110.88929734999999</v>
      </c>
      <c r="J1381" s="2">
        <v>105.79313625010001</v>
      </c>
      <c r="K1381" s="2" t="e">
        <v>#DIV/0!</v>
      </c>
    </row>
    <row r="1384" spans="2:15" x14ac:dyDescent="0.15">
      <c r="B1384" s="1" t="s">
        <v>107</v>
      </c>
      <c r="C1384" s="1" t="s">
        <v>108</v>
      </c>
      <c r="D1384" s="1">
        <f>SUMXMY2(B7:B10,C7:C10)</f>
        <v>284090.79932000022</v>
      </c>
      <c r="E1384" s="1">
        <f>SUMXMY2(C11:C13,B13:B15)</f>
        <v>2000002288333.9893</v>
      </c>
      <c r="F1384" s="1">
        <f>SUMXMY2(2,4)</f>
        <v>4</v>
      </c>
      <c r="G1384" s="2" t="e">
        <f>SUMXMY2(D7:D11,C8:C12)</f>
        <v>#DIV/0!</v>
      </c>
      <c r="H1384" s="2" t="e">
        <f>SUMXMY2(C7:C10,C7:C9)</f>
        <v>#N/A</v>
      </c>
      <c r="I1384" s="2" t="e">
        <f>SUMXMY2(E14:E17,C9:C12)</f>
        <v>#DIV/0!</v>
      </c>
      <c r="J1384" s="2" t="e">
        <f>SUMXMY2(E15:E16,C15:C16)</f>
        <v>#DIV/0!</v>
      </c>
    </row>
    <row r="1385" spans="2:15" x14ac:dyDescent="0.15">
      <c r="C1385" s="1" t="s">
        <v>109</v>
      </c>
      <c r="D1385" s="1">
        <v>284090.79932000022</v>
      </c>
      <c r="E1385" s="1">
        <v>2000002288333.9893</v>
      </c>
      <c r="F1385" s="1">
        <v>4</v>
      </c>
      <c r="G1385" s="2" t="e">
        <v>#DIV/0!</v>
      </c>
      <c r="H1385" s="2" t="e">
        <v>#N/A</v>
      </c>
      <c r="I1385" s="2" t="e">
        <v>#DIV/0!</v>
      </c>
      <c r="J1385" s="2" t="e">
        <v>#DIV/0!</v>
      </c>
    </row>
    <row r="1388" spans="2:15" x14ac:dyDescent="0.15">
      <c r="B1388" s="1" t="s">
        <v>110</v>
      </c>
      <c r="C1388" s="1" t="s">
        <v>111</v>
      </c>
    </row>
    <row r="1389" spans="2:15" x14ac:dyDescent="0.15">
      <c r="C1389" s="1" t="s">
        <v>112</v>
      </c>
    </row>
    <row r="1392" spans="2:15" x14ac:dyDescent="0.15">
      <c r="B1392" s="1" t="s">
        <v>113</v>
      </c>
      <c r="C1392" s="1" t="s">
        <v>114</v>
      </c>
      <c r="D1392" s="1" t="str">
        <f>T("")</f>
        <v/>
      </c>
      <c r="E1392" s="1" t="str">
        <f>T(B10)</f>
        <v/>
      </c>
      <c r="F1392" s="1" t="str">
        <f>T(B16)</f>
        <v/>
      </c>
      <c r="G1392" s="2" t="str">
        <f>T(B18)</f>
        <v>TRUE</v>
      </c>
      <c r="H1392" s="2" t="str">
        <f>T(D8)</f>
        <v/>
      </c>
      <c r="I1392" s="2" t="str">
        <f>T(C11)</f>
        <v/>
      </c>
      <c r="J1392" s="2" t="str">
        <f>T(E12)</f>
        <v>non-numeric</v>
      </c>
      <c r="K1392" s="2" t="str">
        <f>T(E16)</f>
        <v>1.1</v>
      </c>
      <c r="L1392" s="2" t="str">
        <f>T(F13)</f>
        <v>2.99999</v>
      </c>
      <c r="M1392" s="2" t="str">
        <f>T(H12:J12)</f>
        <v/>
      </c>
      <c r="N1392" s="2" t="str">
        <f>T(L7:N7)</f>
        <v/>
      </c>
      <c r="O1392" s="2" t="str">
        <f>T(J1391:J1393)</f>
        <v/>
      </c>
    </row>
    <row r="1393" spans="2:15" x14ac:dyDescent="0.15">
      <c r="C1393" s="1" t="s">
        <v>115</v>
      </c>
      <c r="D1393" s="1" t="s">
        <v>229</v>
      </c>
      <c r="E1393" s="1" t="s">
        <v>229</v>
      </c>
      <c r="F1393" s="1" t="s">
        <v>229</v>
      </c>
      <c r="G1393" s="2" t="s">
        <v>235</v>
      </c>
      <c r="H1393" s="2" t="s">
        <v>229</v>
      </c>
      <c r="I1393" s="2" t="s">
        <v>229</v>
      </c>
      <c r="J1393" s="2" t="s">
        <v>1126</v>
      </c>
      <c r="K1393" s="2" t="s">
        <v>239</v>
      </c>
      <c r="L1393" s="2" t="s">
        <v>240</v>
      </c>
      <c r="M1393" s="2" t="s">
        <v>229</v>
      </c>
      <c r="N1393" s="2" t="s">
        <v>229</v>
      </c>
      <c r="O1393" s="2" t="s">
        <v>229</v>
      </c>
    </row>
    <row r="1396" spans="2:15" x14ac:dyDescent="0.15">
      <c r="B1396" s="1" t="s">
        <v>116</v>
      </c>
      <c r="C1396" s="1" t="s">
        <v>117</v>
      </c>
      <c r="D1396" s="1">
        <f>TAN(B7)</f>
        <v>0</v>
      </c>
      <c r="E1396" s="1">
        <f>TAN(C9)</f>
        <v>1.9647596572486523</v>
      </c>
      <c r="F1396" s="1">
        <f>TAN(B14)</f>
        <v>2.1850398632615189</v>
      </c>
      <c r="G1396" s="2">
        <f>TAN(B16)</f>
        <v>1.5574077246549023</v>
      </c>
      <c r="H1396" s="2">
        <f>TAN(D7)</f>
        <v>0</v>
      </c>
      <c r="I1396" s="2" t="e">
        <f>TAN(E7)</f>
        <v>#VALUE!</v>
      </c>
      <c r="J1396" s="2">
        <f>TAN(E15)</f>
        <v>1.5574077246549023</v>
      </c>
      <c r="K1396" s="2">
        <f>TAN(I7:L7)</f>
        <v>1.5574077246549023</v>
      </c>
      <c r="L1396" s="2">
        <f>TAN(J1396:J1397)</f>
        <v>74.685933398765371</v>
      </c>
      <c r="M1396" s="2" t="e">
        <f>TAN(L7:M8)</f>
        <v>#VALUE!</v>
      </c>
    </row>
    <row r="1397" spans="2:15" x14ac:dyDescent="0.15">
      <c r="C1397" s="1" t="s">
        <v>118</v>
      </c>
      <c r="D1397" s="1">
        <v>0</v>
      </c>
      <c r="E1397" s="1">
        <v>1.9647596572486523</v>
      </c>
      <c r="F1397" s="1">
        <v>2.1850398632615189</v>
      </c>
      <c r="G1397" s="2">
        <v>1.5574077246549023</v>
      </c>
      <c r="H1397" s="2">
        <v>0</v>
      </c>
      <c r="I1397" s="2" t="e">
        <v>#VALUE!</v>
      </c>
      <c r="J1397" s="2">
        <v>1.5574077246549023</v>
      </c>
      <c r="K1397" s="2">
        <v>1.5574077246549023</v>
      </c>
      <c r="L1397" s="2">
        <v>74.685933398765371</v>
      </c>
      <c r="M1397" s="2" t="e">
        <v>#VALUE!</v>
      </c>
    </row>
    <row r="1400" spans="2:15" x14ac:dyDescent="0.15">
      <c r="B1400" s="1" t="s">
        <v>119</v>
      </c>
      <c r="C1400" s="1" t="s">
        <v>120</v>
      </c>
      <c r="D1400" s="1">
        <f>TANH(B7)</f>
        <v>0</v>
      </c>
      <c r="E1400" s="1" t="e">
        <f>TANH(B8:C9)</f>
        <v>#VALUE!</v>
      </c>
      <c r="F1400" s="1">
        <f>TANH(C14)</f>
        <v>-0.99505465502537715</v>
      </c>
      <c r="G1400" s="2">
        <f>TANH(F1398:F1401)</f>
        <v>-0.75950940305076076</v>
      </c>
      <c r="H1400" s="2">
        <f>TANH(F7:H7)</f>
        <v>0.96402758007581701</v>
      </c>
      <c r="I1400" s="2">
        <f>TANH(H1398:H1401)</f>
        <v>0.74606799844559946</v>
      </c>
      <c r="J1400" s="2">
        <f>TANH(E16)</f>
        <v>0.8004990217606297</v>
      </c>
      <c r="K1400" s="2">
        <f>TANH(B16)</f>
        <v>0.76159415595576485</v>
      </c>
      <c r="L1400" s="2" t="e">
        <f>TANH(B18)</f>
        <v>#VALUE!</v>
      </c>
      <c r="M1400" s="2" t="e">
        <f>TANH(K7:L8)</f>
        <v>#VALUE!</v>
      </c>
      <c r="N1400" s="2" t="e">
        <f>TANH(I8:K8)</f>
        <v>#VALUE!</v>
      </c>
    </row>
    <row r="1401" spans="2:15" x14ac:dyDescent="0.15">
      <c r="C1401" s="1" t="s">
        <v>121</v>
      </c>
      <c r="D1401" s="1">
        <v>0</v>
      </c>
      <c r="E1401" s="1" t="e">
        <v>#VALUE!</v>
      </c>
      <c r="F1401" s="1">
        <v>-0.99505465502537715</v>
      </c>
      <c r="G1401" s="2">
        <v>-0.75950940305076087</v>
      </c>
      <c r="H1401" s="2">
        <v>0.96402758007581701</v>
      </c>
      <c r="I1401" s="2">
        <v>0.74606799844559946</v>
      </c>
      <c r="J1401" s="2">
        <v>0.8004990217606297</v>
      </c>
      <c r="K1401" s="2">
        <v>0.76159415595576485</v>
      </c>
      <c r="L1401" s="2" t="e">
        <v>#VALUE!</v>
      </c>
      <c r="M1401" s="2" t="e">
        <v>#VALUE!</v>
      </c>
      <c r="N1401" s="2" t="e">
        <v>#VALUE!</v>
      </c>
    </row>
    <row r="1404" spans="2:15" x14ac:dyDescent="0.15">
      <c r="B1404" s="1" t="s">
        <v>122</v>
      </c>
      <c r="C1404" s="1" t="s">
        <v>123</v>
      </c>
    </row>
    <row r="1405" spans="2:15" x14ac:dyDescent="0.15">
      <c r="C1405" s="1" t="s">
        <v>124</v>
      </c>
    </row>
    <row r="1408" spans="2:15" x14ac:dyDescent="0.15">
      <c r="B1408" s="1" t="s">
        <v>125</v>
      </c>
      <c r="C1408" s="1" t="s">
        <v>126</v>
      </c>
      <c r="D1408" s="1" t="s">
        <v>247</v>
      </c>
    </row>
    <row r="1409" spans="2:9" x14ac:dyDescent="0.15">
      <c r="C1409" s="1" t="s">
        <v>127</v>
      </c>
      <c r="D1409" s="1" t="s">
        <v>247</v>
      </c>
    </row>
    <row r="1412" spans="2:9" x14ac:dyDescent="0.15">
      <c r="B1412" s="1" t="s">
        <v>128</v>
      </c>
      <c r="C1412" s="1" t="s">
        <v>129</v>
      </c>
      <c r="D1412" s="1" t="str">
        <f>TEXT(B9,"0%")&amp;"'"</f>
        <v>200%'</v>
      </c>
      <c r="E1412" s="1" t="str">
        <f>TEXT(321.321111111111,"#.##")&amp;"'"</f>
        <v>321.32'</v>
      </c>
      <c r="F1412" s="1" t="str">
        <f>TEXT(B10,"$#,##0.00")&amp;"'"</f>
        <v>$534.00'</v>
      </c>
    </row>
    <row r="1413" spans="2:9" x14ac:dyDescent="0.15">
      <c r="C1413" s="1" t="s">
        <v>130</v>
      </c>
      <c r="D1413" s="41" t="s">
        <v>1219</v>
      </c>
      <c r="E1413" s="44" t="s">
        <v>1217</v>
      </c>
      <c r="F1413" s="41" t="s">
        <v>1218</v>
      </c>
    </row>
    <row r="1416" spans="2:9" x14ac:dyDescent="0.15">
      <c r="B1416" s="1" t="s">
        <v>131</v>
      </c>
      <c r="C1416" s="1" t="s">
        <v>132</v>
      </c>
      <c r="D1416" s="1" t="s">
        <v>247</v>
      </c>
    </row>
    <row r="1417" spans="2:9" x14ac:dyDescent="0.15">
      <c r="C1417" s="1" t="s">
        <v>0</v>
      </c>
      <c r="D1417" s="1" t="s">
        <v>247</v>
      </c>
    </row>
    <row r="1420" spans="2:9" x14ac:dyDescent="0.15">
      <c r="B1420" s="1" t="s">
        <v>133</v>
      </c>
      <c r="C1420" s="1" t="s">
        <v>134</v>
      </c>
      <c r="D1420" s="1" t="s">
        <v>247</v>
      </c>
    </row>
    <row r="1421" spans="2:9" x14ac:dyDescent="0.15">
      <c r="C1421" s="1" t="s">
        <v>135</v>
      </c>
      <c r="D1421" s="1" t="s">
        <v>247</v>
      </c>
    </row>
    <row r="1424" spans="2:9" x14ac:dyDescent="0.15">
      <c r="B1424" s="1" t="s">
        <v>136</v>
      </c>
      <c r="C1424" s="1" t="s">
        <v>137</v>
      </c>
      <c r="D1424" s="46">
        <f>TIME(12,0,0)</f>
        <v>0.5</v>
      </c>
      <c r="E1424" s="46">
        <f>TIME(27,0,0)</f>
        <v>0.125</v>
      </c>
      <c r="F1424" s="46"/>
      <c r="G1424" s="47"/>
      <c r="H1424" s="47"/>
      <c r="I1424" s="47"/>
    </row>
    <row r="1425" spans="2:9" x14ac:dyDescent="0.15">
      <c r="C1425" s="1" t="s">
        <v>138</v>
      </c>
      <c r="D1425" s="46">
        <v>0.5</v>
      </c>
      <c r="E1425" s="46">
        <v>0.125</v>
      </c>
      <c r="F1425" s="48"/>
      <c r="G1425" s="47"/>
      <c r="H1425" s="47"/>
      <c r="I1425" s="47"/>
    </row>
    <row r="1428" spans="2:9" x14ac:dyDescent="0.15">
      <c r="B1428" s="1" t="s">
        <v>139</v>
      </c>
      <c r="C1428" s="1" t="s">
        <v>140</v>
      </c>
    </row>
    <row r="1429" spans="2:9" x14ac:dyDescent="0.15">
      <c r="C1429" s="1" t="s">
        <v>141</v>
      </c>
    </row>
    <row r="1432" spans="2:9" x14ac:dyDescent="0.15">
      <c r="B1432" s="1" t="s">
        <v>142</v>
      </c>
      <c r="C1432" s="1" t="s">
        <v>143</v>
      </c>
    </row>
    <row r="1433" spans="2:9" x14ac:dyDescent="0.15">
      <c r="C1433" s="1" t="s">
        <v>144</v>
      </c>
    </row>
    <row r="1436" spans="2:9" x14ac:dyDescent="0.15">
      <c r="B1436" s="1" t="s">
        <v>145</v>
      </c>
      <c r="C1436" s="1" t="s">
        <v>146</v>
      </c>
    </row>
    <row r="1437" spans="2:9" x14ac:dyDescent="0.15">
      <c r="C1437" s="1" t="s">
        <v>147</v>
      </c>
    </row>
    <row r="1440" spans="2:9" x14ac:dyDescent="0.15">
      <c r="B1440" s="1" t="s">
        <v>148</v>
      </c>
      <c r="C1440" s="1" t="s">
        <v>149</v>
      </c>
    </row>
    <row r="1441" spans="1:27" x14ac:dyDescent="0.15">
      <c r="C1441" s="1" t="s">
        <v>150</v>
      </c>
    </row>
    <row r="1444" spans="1:27" x14ac:dyDescent="0.15">
      <c r="B1444" s="1" t="s">
        <v>151</v>
      </c>
      <c r="C1444" s="1" t="s">
        <v>152</v>
      </c>
    </row>
    <row r="1445" spans="1:27" x14ac:dyDescent="0.15">
      <c r="C1445" s="1" t="s">
        <v>153</v>
      </c>
    </row>
    <row r="1448" spans="1:27" x14ac:dyDescent="0.15">
      <c r="A1448" s="19"/>
      <c r="B1448" s="19" t="s">
        <v>154</v>
      </c>
      <c r="C1448" s="19" t="s">
        <v>1129</v>
      </c>
      <c r="D1448" s="19" t="str">
        <f>TRIM(E7)</f>
        <v/>
      </c>
      <c r="E1448" s="19" t="str">
        <f>TRIM(E8)</f>
        <v>nospaces</v>
      </c>
      <c r="F1448" s="19" t="str">
        <f>TRIM(E9)</f>
        <v>sp ace s</v>
      </c>
      <c r="G1448" s="19" t="str">
        <f>TRIM(E10)</f>
        <v>endsWithSpace</v>
      </c>
      <c r="H1448" s="19" t="str">
        <f>TRIM(E11)</f>
        <v>beginsWithSpace</v>
      </c>
      <c r="I1448" s="19" t="str">
        <f>TRIM(E12)</f>
        <v>non-numeric</v>
      </c>
      <c r="J1448" s="19" t="str">
        <f>TRIM(E13)</f>
        <v>0</v>
      </c>
      <c r="K1448" s="19" t="str">
        <f>TRIM(E14)</f>
        <v>0.000001</v>
      </c>
      <c r="L1448" s="19" t="str">
        <f>TRIM(E15)</f>
        <v>1</v>
      </c>
      <c r="M1448" s="19" t="str">
        <f>TRIM(E16)</f>
        <v>1.1</v>
      </c>
      <c r="N1448" s="19" t="str">
        <f>TRIM(E17)</f>
        <v>2.99999</v>
      </c>
      <c r="O1448" s="19" t="str">
        <f>TRIM(E18)</f>
        <v>99999999</v>
      </c>
      <c r="P1448" s="19" t="str">
        <f>TRIM(E19)</f>
        <v>alph4Num3ric</v>
      </c>
      <c r="Q1448" s="19" t="str">
        <f>TRIM(E20)</f>
        <v/>
      </c>
      <c r="R1448" s="19" t="e">
        <f>TRIM(E7:E8)</f>
        <v>#VALUE!</v>
      </c>
      <c r="S1448" s="19" t="str">
        <f>TRIM(9)</f>
        <v>9</v>
      </c>
      <c r="T1448" s="19"/>
      <c r="U1448" s="19"/>
      <c r="V1448" s="19"/>
      <c r="W1448" s="19"/>
      <c r="X1448" s="19"/>
      <c r="Y1448" s="19"/>
      <c r="Z1448" s="19"/>
      <c r="AA1448" s="19"/>
    </row>
    <row r="1449" spans="1:27" x14ac:dyDescent="0.15">
      <c r="A1449" s="19"/>
      <c r="B1449" s="19"/>
      <c r="C1449" s="19" t="s">
        <v>1130</v>
      </c>
      <c r="D1449" s="35" t="s">
        <v>229</v>
      </c>
      <c r="E1449" s="19" t="s">
        <v>1117</v>
      </c>
      <c r="F1449" s="19" t="s">
        <v>1118</v>
      </c>
      <c r="G1449" s="19" t="s">
        <v>100</v>
      </c>
      <c r="H1449" s="19" t="s">
        <v>101</v>
      </c>
      <c r="I1449" s="19" t="s">
        <v>1126</v>
      </c>
      <c r="J1449" s="20" t="s">
        <v>102</v>
      </c>
      <c r="K1449" s="20" t="s">
        <v>103</v>
      </c>
      <c r="L1449" s="20" t="s">
        <v>104</v>
      </c>
      <c r="M1449" s="20" t="s">
        <v>239</v>
      </c>
      <c r="N1449" s="20" t="s">
        <v>240</v>
      </c>
      <c r="O1449" s="20" t="s">
        <v>105</v>
      </c>
      <c r="P1449" s="33" t="s">
        <v>1127</v>
      </c>
      <c r="Q1449" s="34" t="s">
        <v>229</v>
      </c>
      <c r="R1449" s="19" t="e">
        <v>#VALUE!</v>
      </c>
      <c r="S1449" s="21" t="s">
        <v>1077</v>
      </c>
      <c r="T1449" s="19"/>
      <c r="U1449" s="19"/>
      <c r="V1449" s="19"/>
      <c r="W1449" s="19"/>
      <c r="X1449" s="19"/>
      <c r="Y1449" s="19"/>
      <c r="Z1449" s="19"/>
      <c r="AA1449" s="19"/>
    </row>
    <row r="1452" spans="1:27" x14ac:dyDescent="0.15">
      <c r="B1452" s="1" t="s">
        <v>155</v>
      </c>
      <c r="C1452" s="1" t="s">
        <v>156</v>
      </c>
    </row>
    <row r="1453" spans="1:27" x14ac:dyDescent="0.15">
      <c r="C1453" s="1" t="s">
        <v>157</v>
      </c>
    </row>
    <row r="1456" spans="1:27" x14ac:dyDescent="0.15">
      <c r="B1456" s="26" t="s">
        <v>1193</v>
      </c>
      <c r="C1456" s="1" t="s">
        <v>158</v>
      </c>
      <c r="D1456" s="1" t="b">
        <f>TRUE()</f>
        <v>1</v>
      </c>
    </row>
    <row r="1457" spans="2:7" x14ac:dyDescent="0.15">
      <c r="C1457" s="1" t="s">
        <v>159</v>
      </c>
      <c r="D1457" s="1" t="b">
        <v>1</v>
      </c>
    </row>
    <row r="1460" spans="2:7" x14ac:dyDescent="0.15">
      <c r="B1460" s="1" t="s">
        <v>160</v>
      </c>
      <c r="C1460" s="1" t="s">
        <v>161</v>
      </c>
      <c r="D1460" s="1">
        <f>TRUNC(8.9)</f>
        <v>8</v>
      </c>
      <c r="E1460" s="1">
        <f>TRUNC(8.9,1)</f>
        <v>8.9</v>
      </c>
      <c r="F1460" s="1">
        <f>TRUNC(-8.9)</f>
        <v>-8</v>
      </c>
      <c r="G1460" s="1">
        <f>TRUNC(PI())</f>
        <v>3</v>
      </c>
    </row>
    <row r="1461" spans="2:7" x14ac:dyDescent="0.15">
      <c r="C1461" s="1" t="s">
        <v>162</v>
      </c>
      <c r="D1461" s="1">
        <v>8</v>
      </c>
      <c r="E1461" s="1">
        <v>8.9</v>
      </c>
      <c r="F1461" s="1">
        <v>-8</v>
      </c>
      <c r="G1461" s="2">
        <v>3</v>
      </c>
    </row>
    <row r="1464" spans="2:7" x14ac:dyDescent="0.15">
      <c r="B1464" s="1" t="s">
        <v>163</v>
      </c>
      <c r="C1464" s="1" t="s">
        <v>164</v>
      </c>
    </row>
    <row r="1465" spans="2:7" x14ac:dyDescent="0.15">
      <c r="C1465" s="1" t="s">
        <v>165</v>
      </c>
    </row>
    <row r="1468" spans="2:7" x14ac:dyDescent="0.15">
      <c r="B1468" s="1" t="s">
        <v>166</v>
      </c>
      <c r="C1468" s="1" t="s">
        <v>167</v>
      </c>
    </row>
    <row r="1469" spans="2:7" x14ac:dyDescent="0.15">
      <c r="C1469" s="1" t="s">
        <v>168</v>
      </c>
    </row>
    <row r="1472" spans="2:7" x14ac:dyDescent="0.15">
      <c r="B1472" s="1" t="s">
        <v>169</v>
      </c>
      <c r="C1472" s="1" t="s">
        <v>170</v>
      </c>
      <c r="D1472" s="1" t="s">
        <v>247</v>
      </c>
    </row>
    <row r="1473" spans="2:18" x14ac:dyDescent="0.15">
      <c r="C1473" s="1" t="s">
        <v>171</v>
      </c>
      <c r="D1473" s="1" t="s">
        <v>247</v>
      </c>
    </row>
    <row r="1476" spans="2:18" x14ac:dyDescent="0.15">
      <c r="B1476" s="1" t="s">
        <v>172</v>
      </c>
      <c r="C1476" s="1" t="s">
        <v>173</v>
      </c>
      <c r="D1476" s="1" t="str">
        <f>UPPER("this is all lower")</f>
        <v>THIS IS ALL LOWER</v>
      </c>
      <c r="E1476" s="1" t="str">
        <f>UPPER("123 456")</f>
        <v>123 456</v>
      </c>
      <c r="F1476" s="1" t="str">
        <f>UPPER("ASDFGH")</f>
        <v>ASDFGH</v>
      </c>
      <c r="G1476" s="2" t="str">
        <f>UPPER(123)</f>
        <v>123</v>
      </c>
      <c r="H1476" s="2" t="str">
        <f>UPPER(B10)</f>
        <v>534</v>
      </c>
      <c r="I1476" s="2" t="str">
        <f>UPPER(B16)</f>
        <v>TRUE</v>
      </c>
      <c r="J1476" s="2" t="str">
        <f>UPPER(B18)</f>
        <v>TRUE</v>
      </c>
      <c r="K1476" s="2" t="str">
        <f>UPPER(E11)</f>
        <v xml:space="preserve"> BEGINSWITHSPACE</v>
      </c>
      <c r="L1476" s="2" t="str">
        <f>UPPER(E19)</f>
        <v>ALPH4NUM3RIC</v>
      </c>
      <c r="M1476" s="2" t="str">
        <f>UPPER(K7:N7)</f>
        <v>ALPHANUM</v>
      </c>
      <c r="N1476" s="2" t="str">
        <f>UPPER(L1474:L1477)</f>
        <v>ALPH4NUM3RIC</v>
      </c>
      <c r="O1476" s="2" t="e">
        <f>UPPER(N7:P8)</f>
        <v>#VALUE!</v>
      </c>
      <c r="P1476" s="2" t="e">
        <f>UPPER(M9:N10)</f>
        <v>#VALUE!</v>
      </c>
      <c r="Q1476" s="2" t="e">
        <f>UPPER(AA12)</f>
        <v>#NUM!</v>
      </c>
      <c r="R1476" s="2" t="str">
        <f>UPPER(misc!R1000:R2000)</f>
        <v/>
      </c>
    </row>
    <row r="1477" spans="2:18" x14ac:dyDescent="0.15">
      <c r="C1477" s="1" t="s">
        <v>174</v>
      </c>
      <c r="D1477" s="1" t="s">
        <v>230</v>
      </c>
      <c r="E1477" s="1" t="s">
        <v>231</v>
      </c>
      <c r="F1477" s="1" t="s">
        <v>232</v>
      </c>
      <c r="G1477" s="2" t="s">
        <v>233</v>
      </c>
      <c r="H1477" s="2" t="s">
        <v>234</v>
      </c>
      <c r="I1477" s="2" t="s">
        <v>235</v>
      </c>
      <c r="J1477" s="2" t="s">
        <v>235</v>
      </c>
      <c r="K1477" s="2" t="s">
        <v>236</v>
      </c>
      <c r="L1477" s="2" t="s">
        <v>237</v>
      </c>
      <c r="M1477" s="2" t="s">
        <v>238</v>
      </c>
      <c r="N1477" s="2" t="s">
        <v>237</v>
      </c>
      <c r="O1477" s="2" t="e">
        <v>#VALUE!</v>
      </c>
      <c r="P1477" s="2" t="e">
        <v>#VALUE!</v>
      </c>
      <c r="Q1477" s="2" t="e">
        <v>#NUM!</v>
      </c>
      <c r="R1477" s="36" t="s">
        <v>229</v>
      </c>
    </row>
    <row r="1480" spans="2:18" x14ac:dyDescent="0.15">
      <c r="B1480" s="1" t="s">
        <v>175</v>
      </c>
      <c r="C1480" s="1" t="s">
        <v>176</v>
      </c>
    </row>
    <row r="1481" spans="2:18" x14ac:dyDescent="0.15">
      <c r="C1481" s="1" t="s">
        <v>177</v>
      </c>
    </row>
    <row r="1484" spans="2:18" x14ac:dyDescent="0.15">
      <c r="B1484" s="1" t="s">
        <v>178</v>
      </c>
      <c r="C1484" s="1" t="s">
        <v>179</v>
      </c>
      <c r="D1484" s="1">
        <f>VALUE("0.33")</f>
        <v>0.33</v>
      </c>
      <c r="E1484" s="1" t="e">
        <f>VALUE("$1,000")</f>
        <v>#VALUE!</v>
      </c>
      <c r="G1484" s="1"/>
      <c r="H1484" s="1"/>
    </row>
    <row r="1485" spans="2:18" x14ac:dyDescent="0.15">
      <c r="C1485" s="1" t="s">
        <v>180</v>
      </c>
      <c r="D1485" s="1">
        <v>0.33</v>
      </c>
      <c r="E1485" s="1">
        <v>1000</v>
      </c>
    </row>
    <row r="1488" spans="2:18" x14ac:dyDescent="0.15">
      <c r="B1488" s="1" t="s">
        <v>181</v>
      </c>
      <c r="C1488" s="1" t="s">
        <v>182</v>
      </c>
      <c r="D1488" s="1">
        <f>VAR(B7:B9,C7:C9,C10:C11)</f>
        <v>1.1440985357553568</v>
      </c>
      <c r="E1488" s="1">
        <f>VAR(B14:B16,D15:D17,E15)</f>
        <v>0.5</v>
      </c>
      <c r="F1488" s="1" t="e">
        <f>VAR(E15:E17)</f>
        <v>#DIV/0!</v>
      </c>
      <c r="G1488" s="2">
        <f>VAR("1","2")</f>
        <v>0.5</v>
      </c>
      <c r="H1488" s="2" t="e">
        <f>VAR(D14:D15,E13)</f>
        <v>#DIV/0!</v>
      </c>
      <c r="I1488" s="2">
        <f>VAR(F10,F8)</f>
        <v>0.49999000004999994</v>
      </c>
      <c r="J1488" s="2">
        <f>VAR(F8:G10)</f>
        <v>1.9999999991653392E+19</v>
      </c>
      <c r="K1488" s="2">
        <f>VAR(TRUE, FALSE, TRUE)</f>
        <v>0.33333333333333337</v>
      </c>
      <c r="L1488" s="2">
        <f>VAR(1,2,3,E20)</f>
        <v>1</v>
      </c>
    </row>
    <row r="1489" spans="2:12" x14ac:dyDescent="0.15">
      <c r="C1489" s="1" t="s">
        <v>183</v>
      </c>
      <c r="D1489" s="1">
        <v>1.144098536</v>
      </c>
      <c r="E1489" s="1">
        <v>0.5</v>
      </c>
      <c r="F1489" s="1" t="e">
        <v>#DIV/0!</v>
      </c>
      <c r="G1489" s="2">
        <v>0.5</v>
      </c>
      <c r="H1489" s="2" t="e">
        <v>#DIV/0!</v>
      </c>
      <c r="I1489" s="2">
        <v>0.49998999999999999</v>
      </c>
      <c r="J1489" s="43">
        <v>2E+19</v>
      </c>
      <c r="K1489" s="2">
        <v>0.33333333300000001</v>
      </c>
      <c r="L1489" s="2">
        <v>1</v>
      </c>
    </row>
    <row r="1492" spans="2:12" x14ac:dyDescent="0.15">
      <c r="B1492" s="1" t="s">
        <v>184</v>
      </c>
      <c r="C1492" s="1" t="s">
        <v>185</v>
      </c>
    </row>
    <row r="1493" spans="2:12" x14ac:dyDescent="0.15">
      <c r="C1493" s="1" t="s">
        <v>186</v>
      </c>
    </row>
    <row r="1496" spans="2:12" x14ac:dyDescent="0.15">
      <c r="B1496" s="1" t="s">
        <v>187</v>
      </c>
      <c r="C1496" s="1" t="s">
        <v>188</v>
      </c>
      <c r="D1496" s="1">
        <f>VARP(B7:B9,C7:C9,C10:C11)</f>
        <v>1.0010862187859373</v>
      </c>
      <c r="E1496" s="1">
        <f>VARP(B14:B16,D15:D17,E15)</f>
        <v>0.25</v>
      </c>
      <c r="F1496" s="1" t="e">
        <f>VARP(E15:E17)</f>
        <v>#DIV/0!</v>
      </c>
      <c r="G1496" s="2">
        <f>VARP("1","2")</f>
        <v>0.25</v>
      </c>
      <c r="H1496" s="2" t="e">
        <f>VARP(D14:D15,E13)</f>
        <v>#DIV/0!</v>
      </c>
      <c r="I1496" s="2">
        <f>VARP(F10,F8)</f>
        <v>0.24999500002499997</v>
      </c>
      <c r="J1496" s="2">
        <f>VARP(F8:G10)</f>
        <v>1.5999999993322713E+19</v>
      </c>
      <c r="K1496" s="2">
        <f>VARP(TRUE, FALSE, TRUE)</f>
        <v>0.22222222222222221</v>
      </c>
      <c r="L1496" s="2">
        <f>VARP(1,2,3,E28)</f>
        <v>0.66666666666666663</v>
      </c>
    </row>
    <row r="1497" spans="2:12" x14ac:dyDescent="0.15">
      <c r="C1497" s="1" t="s">
        <v>189</v>
      </c>
      <c r="D1497" s="1">
        <v>1.0010862190000001</v>
      </c>
      <c r="E1497" s="1">
        <v>0.25</v>
      </c>
      <c r="F1497" s="1" t="e">
        <v>#DIV/0!</v>
      </c>
      <c r="G1497" s="2">
        <v>0.25</v>
      </c>
      <c r="H1497" s="2" t="e">
        <v>#DIV/0!</v>
      </c>
      <c r="I1497" s="2">
        <v>0.24999499999999999</v>
      </c>
      <c r="J1497" s="43">
        <v>1.6E+19</v>
      </c>
      <c r="K1497" s="2">
        <v>0.222222222</v>
      </c>
      <c r="L1497" s="2">
        <v>0.66666666699999999</v>
      </c>
    </row>
    <row r="1500" spans="2:12" x14ac:dyDescent="0.15">
      <c r="B1500" s="1" t="s">
        <v>190</v>
      </c>
      <c r="C1500" s="1" t="s">
        <v>191</v>
      </c>
    </row>
    <row r="1501" spans="2:12" x14ac:dyDescent="0.15">
      <c r="C1501" s="1" t="s">
        <v>192</v>
      </c>
    </row>
    <row r="1504" spans="2:12" x14ac:dyDescent="0.15">
      <c r="B1504" s="1" t="s">
        <v>193</v>
      </c>
      <c r="C1504" s="1" t="s">
        <v>194</v>
      </c>
    </row>
    <row r="1505" spans="2:7" x14ac:dyDescent="0.15">
      <c r="C1505" s="1" t="s">
        <v>0</v>
      </c>
    </row>
    <row r="1508" spans="2:7" x14ac:dyDescent="0.15">
      <c r="B1508" s="1" t="s">
        <v>1</v>
      </c>
      <c r="C1508" s="1" t="s">
        <v>2</v>
      </c>
      <c r="D1508" s="1" t="s">
        <v>247</v>
      </c>
    </row>
    <row r="1509" spans="2:7" x14ac:dyDescent="0.15">
      <c r="C1509" s="1" t="s">
        <v>3</v>
      </c>
      <c r="D1509" s="1" t="s">
        <v>247</v>
      </c>
    </row>
    <row r="1512" spans="2:7" x14ac:dyDescent="0.15">
      <c r="B1512" s="1" t="s">
        <v>4</v>
      </c>
      <c r="C1512" s="1" t="s">
        <v>5</v>
      </c>
      <c r="D1512" s="1">
        <f>VLOOKUP(534,$B$6:$H$12,2)</f>
        <v>1.0000100000000001</v>
      </c>
      <c r="E1512" s="1" t="str">
        <f>VLOOKUP(534,$B$6:$H$12,4)</f>
        <v xml:space="preserve">endsWithSpace </v>
      </c>
      <c r="F1512" s="1" t="str">
        <f>VLOOKUP(534,$B$6:$H$12,4, TRUE)</f>
        <v xml:space="preserve">endsWithSpace </v>
      </c>
      <c r="G1512" s="1" t="e">
        <f>VLOOKUP(-1,$B$6:$H$12,4, TRUE)</f>
        <v>#N/A</v>
      </c>
    </row>
    <row r="1513" spans="2:7" x14ac:dyDescent="0.15">
      <c r="C1513" s="1" t="s">
        <v>6</v>
      </c>
      <c r="D1513" s="1">
        <v>1.0000100000000001</v>
      </c>
      <c r="E1513" s="1" t="s">
        <v>1121</v>
      </c>
      <c r="F1513" s="1" t="s">
        <v>1121</v>
      </c>
      <c r="G1513" s="2" t="e">
        <v>#N/A</v>
      </c>
    </row>
    <row r="1516" spans="2:7" x14ac:dyDescent="0.15">
      <c r="B1516" s="1" t="s">
        <v>7</v>
      </c>
      <c r="C1516" s="1" t="s">
        <v>8</v>
      </c>
    </row>
    <row r="1517" spans="2:7" x14ac:dyDescent="0.15">
      <c r="C1517" s="1" t="s">
        <v>9</v>
      </c>
    </row>
    <row r="1520" spans="2:7" x14ac:dyDescent="0.15">
      <c r="B1520" s="1" t="s">
        <v>10</v>
      </c>
      <c r="C1520" s="1" t="s">
        <v>11</v>
      </c>
    </row>
    <row r="1521" spans="2:10" x14ac:dyDescent="0.15">
      <c r="C1521" s="1" t="s">
        <v>12</v>
      </c>
    </row>
    <row r="1524" spans="2:10" x14ac:dyDescent="0.15">
      <c r="B1524" s="1" t="s">
        <v>1224</v>
      </c>
      <c r="C1524" s="1" t="s">
        <v>2</v>
      </c>
      <c r="D1524" s="1">
        <f>_xludf.WEEKNUM(DATE(2009, 11, 2),1)</f>
        <v>45</v>
      </c>
      <c r="E1524" s="1">
        <f>_xludf.WEEKNUM(DATE(2009, 3, 9),2)</f>
        <v>11</v>
      </c>
      <c r="F1524" s="1">
        <f>_xludf.WEEKNUM(DATE(2013, 1, 1),2)</f>
        <v>1</v>
      </c>
      <c r="G1524" s="1">
        <f>_xludf.WEEKNUM(DATE(2014, 3, 1),1)</f>
        <v>9</v>
      </c>
      <c r="H1524" s="1" t="e">
        <f>_xludf.WEEKNUM("ABCDEF",1)</f>
        <v>#VALUE!</v>
      </c>
      <c r="I1524" s="1">
        <f>_xludf.WEEKNUM(DATE(2013, 1, 1),-1)</f>
        <v>1</v>
      </c>
      <c r="J1524" s="1" t="e">
        <f>_xludf.WEEKNUM("99/9/2008",-1)</f>
        <v>#VALUE!</v>
      </c>
    </row>
    <row r="1525" spans="2:10" x14ac:dyDescent="0.15">
      <c r="C1525" s="1" t="s">
        <v>0</v>
      </c>
      <c r="D1525" s="1">
        <v>45</v>
      </c>
      <c r="E1525" s="1">
        <v>11</v>
      </c>
      <c r="F1525" s="1">
        <v>1</v>
      </c>
      <c r="G1525" s="1">
        <v>9</v>
      </c>
      <c r="H1525" s="58" t="e">
        <v>#VALUE!</v>
      </c>
      <c r="I1525" s="60" t="e">
        <v>#NUM!</v>
      </c>
      <c r="J1525" s="58" t="e">
        <v>#VALUE!</v>
      </c>
    </row>
    <row r="1528" spans="2:10" x14ac:dyDescent="0.15">
      <c r="B1528" s="1" t="s">
        <v>13</v>
      </c>
      <c r="C1528" s="1" t="s">
        <v>14</v>
      </c>
    </row>
    <row r="1529" spans="2:10" x14ac:dyDescent="0.15">
      <c r="C1529" s="1" t="s">
        <v>15</v>
      </c>
    </row>
    <row r="1532" spans="2:10" x14ac:dyDescent="0.15">
      <c r="B1532" s="1" t="s">
        <v>16</v>
      </c>
      <c r="C1532" s="1" t="s">
        <v>17</v>
      </c>
      <c r="D1532" s="1" t="s">
        <v>247</v>
      </c>
    </row>
    <row r="1533" spans="2:10" x14ac:dyDescent="0.15">
      <c r="C1533" s="1" t="s">
        <v>18</v>
      </c>
      <c r="D1533" s="1" t="s">
        <v>247</v>
      </c>
    </row>
    <row r="1536" spans="2:10" x14ac:dyDescent="0.15">
      <c r="B1536" s="1" t="s">
        <v>19</v>
      </c>
      <c r="C1536" s="1" t="s">
        <v>20</v>
      </c>
      <c r="D1536" s="1" t="s">
        <v>247</v>
      </c>
    </row>
    <row r="1537" spans="2:9" x14ac:dyDescent="0.15">
      <c r="C1537" s="1" t="s">
        <v>21</v>
      </c>
      <c r="D1537" s="1" t="s">
        <v>247</v>
      </c>
    </row>
    <row r="1540" spans="2:9" x14ac:dyDescent="0.15">
      <c r="B1540" s="1" t="s">
        <v>22</v>
      </c>
      <c r="C1540" s="1" t="s">
        <v>23</v>
      </c>
      <c r="D1540" s="1">
        <f>YEAR(C20)</f>
        <v>2000</v>
      </c>
      <c r="E1540" s="1">
        <f>YEAR(1)</f>
        <v>1900</v>
      </c>
      <c r="F1540" s="1">
        <f>YEAR(0)</f>
        <v>1900</v>
      </c>
      <c r="G1540" s="1" t="e">
        <f>YEAR(-10)</f>
        <v>#NUM!</v>
      </c>
      <c r="H1540" s="2" t="e">
        <f>YEAR(#REF!)</f>
        <v>#REF!</v>
      </c>
      <c r="I1540" s="2">
        <f>YEAR(C20+2000)</f>
        <v>2006</v>
      </c>
    </row>
    <row r="1541" spans="2:9" x14ac:dyDescent="0.15">
      <c r="C1541" s="1" t="s">
        <v>24</v>
      </c>
      <c r="D1541" s="1">
        <v>2000</v>
      </c>
      <c r="E1541" s="1">
        <v>1900</v>
      </c>
      <c r="F1541" s="1">
        <v>1900</v>
      </c>
      <c r="G1541" s="1" t="e">
        <v>#NUM!</v>
      </c>
      <c r="H1541" s="2" t="e">
        <v>#REF!</v>
      </c>
      <c r="I1541" s="2">
        <v>2006</v>
      </c>
    </row>
    <row r="1544" spans="2:9" x14ac:dyDescent="0.15">
      <c r="B1544" s="1" t="s">
        <v>222</v>
      </c>
      <c r="C1544" s="1" t="s">
        <v>223</v>
      </c>
    </row>
    <row r="1545" spans="2:9" x14ac:dyDescent="0.15">
      <c r="C1545" s="1" t="s">
        <v>224</v>
      </c>
    </row>
    <row r="1548" spans="2:9" x14ac:dyDescent="0.15">
      <c r="B1548" s="25" t="s">
        <v>1191</v>
      </c>
    </row>
  </sheetData>
  <sheetCalcPr fullCalcOnLoad="1"/>
  <mergeCells count="6">
    <mergeCell ref="T6:Z6"/>
    <mergeCell ref="B2:M4"/>
    <mergeCell ref="A6:A21"/>
    <mergeCell ref="G6:J6"/>
    <mergeCell ref="K6:O6"/>
    <mergeCell ref="B94:C94"/>
  </mergeCells>
  <phoneticPr fontId="0" type="noConversion"/>
  <hyperlinks>
    <hyperlink ref="D749" r:id="rId1" xr:uid="{F53B1976-63FD-5844-B34D-E688434066BF}"/>
  </hyperlinks>
  <pageMargins left="0.78749999999999998" right="0.78749999999999998" top="0.78749999999999998" bottom="0.78749999999999998" header="0.5" footer="0.5"/>
  <pageSetup firstPageNumber="0" fitToHeight="0" orientation="portrait" horizontalDpi="300" verticalDpi="300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4B72-0864-3C4B-A76E-FE7B589B02A7}">
  <sheetPr codeName="Sheet2"/>
  <dimension ref="A1:X34"/>
  <sheetViews>
    <sheetView workbookViewId="0">
      <pane xSplit="12540" topLeftCell="K1"/>
      <selection activeCell="K23" sqref="K23"/>
      <selection pane="topRight" activeCell="K6" sqref="K6"/>
    </sheetView>
  </sheetViews>
  <sheetFormatPr baseColWidth="10" defaultColWidth="9" defaultRowHeight="13" x14ac:dyDescent="0.15"/>
  <cols>
    <col min="1" max="1" width="10" style="13" customWidth="1"/>
    <col min="2" max="7" width="9" style="13"/>
    <col min="8" max="8" width="14" style="16" customWidth="1"/>
    <col min="9" max="13" width="9.6640625" style="16" customWidth="1"/>
    <col min="14" max="14" width="9" style="16"/>
    <col min="15" max="15" width="25" style="16" bestFit="1" customWidth="1"/>
    <col min="16" max="16" width="18.6640625" style="16" bestFit="1" customWidth="1"/>
    <col min="17" max="16384" width="9" style="13"/>
  </cols>
  <sheetData>
    <row r="1" spans="1:24" x14ac:dyDescent="0.15">
      <c r="O1" s="16" t="s">
        <v>78</v>
      </c>
      <c r="P1" s="16" t="s">
        <v>70</v>
      </c>
    </row>
    <row r="2" spans="1:24" x14ac:dyDescent="0.15">
      <c r="A2" s="14" t="s">
        <v>75</v>
      </c>
      <c r="B2" s="14" t="s">
        <v>70</v>
      </c>
      <c r="C2" s="14" t="s">
        <v>71</v>
      </c>
      <c r="D2" s="14" t="s">
        <v>72</v>
      </c>
      <c r="E2" s="14" t="s">
        <v>73</v>
      </c>
      <c r="F2" s="14" t="s">
        <v>74</v>
      </c>
      <c r="H2" s="17" t="s">
        <v>75</v>
      </c>
      <c r="I2" s="17" t="s">
        <v>73</v>
      </c>
      <c r="J2" s="17" t="s">
        <v>72</v>
      </c>
      <c r="K2" s="17" t="s">
        <v>71</v>
      </c>
      <c r="L2" s="17"/>
      <c r="M2" s="17"/>
      <c r="O2" s="16">
        <f>NPV(P2,R2:U2)</f>
        <v>162.5</v>
      </c>
      <c r="P2" s="16">
        <v>1</v>
      </c>
      <c r="Q2" s="13" t="s">
        <v>77</v>
      </c>
      <c r="R2" s="13">
        <v>100</v>
      </c>
      <c r="S2" s="13">
        <v>200</v>
      </c>
      <c r="T2" s="13">
        <v>300</v>
      </c>
      <c r="U2" s="13">
        <v>400</v>
      </c>
    </row>
    <row r="3" spans="1:24" x14ac:dyDescent="0.15">
      <c r="B3" s="13">
        <v>1</v>
      </c>
      <c r="C3" s="13">
        <v>10</v>
      </c>
      <c r="D3" s="13">
        <v>100</v>
      </c>
      <c r="E3" s="13">
        <v>10000</v>
      </c>
      <c r="F3" s="13">
        <v>0</v>
      </c>
      <c r="H3" s="16">
        <f>FV(B3,C3,D3,E3,F3)</f>
        <v>-10342300</v>
      </c>
      <c r="O3" s="16">
        <f>NPV(P3,R3:U3)</f>
        <v>347.99232604148267</v>
      </c>
      <c r="P3" s="16">
        <v>2.5</v>
      </c>
      <c r="Q3" s="13" t="s">
        <v>77</v>
      </c>
      <c r="R3" s="13">
        <v>1000</v>
      </c>
      <c r="S3" s="13">
        <v>666.66665999999998</v>
      </c>
      <c r="T3" s="13">
        <v>333.33</v>
      </c>
      <c r="U3" s="13">
        <v>12.276841599999999</v>
      </c>
    </row>
    <row r="4" spans="1:24" x14ac:dyDescent="0.15">
      <c r="B4" s="13">
        <v>1</v>
      </c>
      <c r="C4" s="13">
        <v>10</v>
      </c>
      <c r="D4" s="13">
        <v>100</v>
      </c>
      <c r="E4" s="13">
        <v>10000</v>
      </c>
      <c r="F4" s="13">
        <v>1</v>
      </c>
      <c r="H4" s="16">
        <f t="shared" ref="H4:H14" si="0">FV(B4,C4,D4,E4,F4)</f>
        <v>-10444600</v>
      </c>
      <c r="O4" s="16">
        <f>NPV(P4,R4:U4)</f>
        <v>74.374243337706076</v>
      </c>
      <c r="P4" s="16">
        <v>12.33333</v>
      </c>
      <c r="Q4" s="13" t="s">
        <v>77</v>
      </c>
      <c r="R4" s="13">
        <v>1000</v>
      </c>
      <c r="S4" s="13">
        <v>0</v>
      </c>
      <c r="T4" s="13">
        <v>-900</v>
      </c>
      <c r="U4" s="13">
        <v>-7777.5765000000001</v>
      </c>
    </row>
    <row r="5" spans="1:24" x14ac:dyDescent="0.15">
      <c r="B5" s="13">
        <v>2</v>
      </c>
      <c r="C5" s="13">
        <v>12</v>
      </c>
      <c r="D5" s="13">
        <v>120</v>
      </c>
      <c r="E5" s="13">
        <v>12000</v>
      </c>
      <c r="F5" s="13">
        <v>0</v>
      </c>
      <c r="H5" s="16">
        <f t="shared" si="0"/>
        <v>-6409178400</v>
      </c>
      <c r="O5" s="16">
        <f>NPV(P5,R5:X5)</f>
        <v>11342283.4233124</v>
      </c>
      <c r="P5" s="16">
        <v>0.05</v>
      </c>
      <c r="Q5" s="13" t="s">
        <v>77</v>
      </c>
      <c r="R5" s="13">
        <v>200000</v>
      </c>
      <c r="S5" s="13">
        <v>300000.55</v>
      </c>
      <c r="T5" s="13">
        <v>400000</v>
      </c>
      <c r="U5" s="13">
        <v>1000000</v>
      </c>
      <c r="V5" s="13">
        <v>6000000</v>
      </c>
      <c r="W5" s="13">
        <v>7000000</v>
      </c>
      <c r="X5" s="13">
        <v>-300000</v>
      </c>
    </row>
    <row r="6" spans="1:24" x14ac:dyDescent="0.15">
      <c r="B6" s="13">
        <v>2</v>
      </c>
      <c r="C6" s="13">
        <v>12</v>
      </c>
      <c r="D6" s="13">
        <v>120</v>
      </c>
      <c r="E6" s="13">
        <v>12000</v>
      </c>
      <c r="F6" s="13">
        <v>1</v>
      </c>
      <c r="H6" s="16">
        <f t="shared" si="0"/>
        <v>-6472951200</v>
      </c>
    </row>
    <row r="7" spans="1:24" x14ac:dyDescent="0.15">
      <c r="B7" s="13">
        <f>2/3</f>
        <v>0.66666666666666663</v>
      </c>
      <c r="C7" s="13">
        <v>23</v>
      </c>
      <c r="D7" s="13">
        <v>133.33000000000001</v>
      </c>
      <c r="E7" s="13">
        <v>34307</v>
      </c>
      <c r="F7" s="13">
        <v>0</v>
      </c>
      <c r="H7" s="16">
        <f t="shared" si="0"/>
        <v>-4369465978.7937231</v>
      </c>
    </row>
    <row r="8" spans="1:24" x14ac:dyDescent="0.15">
      <c r="B8" s="13">
        <f>2/3</f>
        <v>0.66666666666666663</v>
      </c>
      <c r="C8" s="13">
        <v>23</v>
      </c>
      <c r="D8" s="13">
        <v>133.33000000000001</v>
      </c>
      <c r="E8" s="13">
        <v>34307</v>
      </c>
      <c r="F8" s="13">
        <v>1</v>
      </c>
      <c r="H8" s="16">
        <f t="shared" si="0"/>
        <v>-4386348826.0193434</v>
      </c>
    </row>
    <row r="9" spans="1:24" x14ac:dyDescent="0.15">
      <c r="B9" s="13">
        <v>0</v>
      </c>
      <c r="C9" s="13">
        <v>1</v>
      </c>
      <c r="D9" s="13">
        <v>100</v>
      </c>
      <c r="E9" s="13">
        <v>2300</v>
      </c>
      <c r="F9" s="13">
        <v>0</v>
      </c>
      <c r="H9" s="16">
        <f t="shared" si="0"/>
        <v>-2400</v>
      </c>
    </row>
    <row r="10" spans="1:24" x14ac:dyDescent="0.15">
      <c r="B10" s="13">
        <v>0</v>
      </c>
      <c r="C10" s="13">
        <v>1</v>
      </c>
      <c r="D10" s="13">
        <v>100</v>
      </c>
      <c r="E10" s="13">
        <v>2300</v>
      </c>
      <c r="F10" s="13">
        <v>1</v>
      </c>
      <c r="H10" s="16">
        <f t="shared" si="0"/>
        <v>-2400</v>
      </c>
    </row>
    <row r="11" spans="1:24" x14ac:dyDescent="0.15">
      <c r="B11" s="13">
        <v>0</v>
      </c>
      <c r="C11" s="13">
        <v>12</v>
      </c>
      <c r="D11" s="13">
        <v>120</v>
      </c>
      <c r="E11" s="13">
        <v>12000</v>
      </c>
      <c r="F11" s="13">
        <v>0</v>
      </c>
      <c r="H11" s="16">
        <f t="shared" si="0"/>
        <v>-13440</v>
      </c>
    </row>
    <row r="12" spans="1:24" x14ac:dyDescent="0.15">
      <c r="B12" s="13">
        <v>0</v>
      </c>
      <c r="C12" s="13">
        <v>12</v>
      </c>
      <c r="D12" s="13">
        <v>120</v>
      </c>
      <c r="E12" s="13">
        <v>12000</v>
      </c>
      <c r="F12" s="13">
        <v>1</v>
      </c>
      <c r="H12" s="16">
        <f t="shared" si="0"/>
        <v>-13440</v>
      </c>
    </row>
    <row r="13" spans="1:24" x14ac:dyDescent="0.15">
      <c r="B13" s="13">
        <v>2.3332999999999999</v>
      </c>
      <c r="C13" s="13">
        <v>4</v>
      </c>
      <c r="D13" s="13">
        <v>334.5</v>
      </c>
      <c r="E13" s="13">
        <v>14323.45</v>
      </c>
      <c r="F13" s="13">
        <v>0</v>
      </c>
      <c r="H13" s="16">
        <f t="shared" si="0"/>
        <v>-1785811.0268780407</v>
      </c>
    </row>
    <row r="14" spans="1:24" x14ac:dyDescent="0.15">
      <c r="B14" s="13">
        <v>2.3332999999999999</v>
      </c>
      <c r="C14" s="13">
        <v>4</v>
      </c>
      <c r="D14" s="13">
        <v>334.5</v>
      </c>
      <c r="E14" s="13">
        <v>14323.45</v>
      </c>
      <c r="F14" s="13">
        <v>1</v>
      </c>
      <c r="H14" s="16">
        <f t="shared" si="0"/>
        <v>-1826771.1713472628</v>
      </c>
    </row>
    <row r="15" spans="1:24" x14ac:dyDescent="0.15">
      <c r="A15" s="13">
        <v>10000</v>
      </c>
      <c r="B15" s="13">
        <v>1</v>
      </c>
      <c r="C15" s="13">
        <v>10</v>
      </c>
      <c r="D15" s="13">
        <v>100</v>
      </c>
      <c r="F15" s="13">
        <v>0</v>
      </c>
      <c r="I15" s="16">
        <f>PV(B15,C15,D15,A15,F15)</f>
        <v>-109.66796875</v>
      </c>
    </row>
    <row r="16" spans="1:24" x14ac:dyDescent="0.15">
      <c r="A16" s="13">
        <v>10000</v>
      </c>
      <c r="B16" s="13">
        <v>1</v>
      </c>
      <c r="C16" s="13">
        <v>10</v>
      </c>
      <c r="D16" s="13">
        <v>100</v>
      </c>
      <c r="F16" s="13">
        <v>1</v>
      </c>
      <c r="I16" s="16">
        <f>PV(B16,C16,D16,A16,F16)</f>
        <v>-209.5703125</v>
      </c>
    </row>
    <row r="17" spans="1:11" x14ac:dyDescent="0.15">
      <c r="A17" s="13">
        <v>333891.23</v>
      </c>
      <c r="B17" s="13">
        <v>2.95</v>
      </c>
      <c r="C17" s="13">
        <v>13</v>
      </c>
      <c r="D17" s="13">
        <v>13000</v>
      </c>
      <c r="F17" s="13">
        <v>0</v>
      </c>
      <c r="I17" s="16">
        <f>PV(B17,C17,D17,A17,F17)</f>
        <v>-4406.7854429449617</v>
      </c>
    </row>
    <row r="18" spans="1:11" x14ac:dyDescent="0.15">
      <c r="A18" s="13">
        <v>333891.23</v>
      </c>
      <c r="B18" s="13">
        <v>2.95</v>
      </c>
      <c r="C18" s="13">
        <v>13</v>
      </c>
      <c r="D18" s="13">
        <v>13000</v>
      </c>
      <c r="F18" s="13">
        <v>1</v>
      </c>
      <c r="I18" s="16">
        <f>PV(B18,C18,D18,A18,F18)</f>
        <v>-17406.785214815642</v>
      </c>
    </row>
    <row r="19" spans="1:11" x14ac:dyDescent="0.15">
      <c r="B19" s="13">
        <v>2.95</v>
      </c>
      <c r="C19" s="13">
        <v>13</v>
      </c>
      <c r="D19" s="13">
        <v>13000</v>
      </c>
      <c r="E19" s="16">
        <v>-4406.7854429449617</v>
      </c>
      <c r="F19" s="13">
        <v>0</v>
      </c>
      <c r="H19" s="16">
        <f>FV(B19,C19,D19,E19,F19)</f>
        <v>333891.23001098633</v>
      </c>
    </row>
    <row r="20" spans="1:11" x14ac:dyDescent="0.15">
      <c r="B20" s="13">
        <v>2.95</v>
      </c>
      <c r="C20" s="13">
        <v>13</v>
      </c>
      <c r="D20" s="13">
        <v>13000</v>
      </c>
      <c r="E20" s="16">
        <v>-17406.785214815642</v>
      </c>
      <c r="F20" s="13">
        <v>1</v>
      </c>
      <c r="H20" s="16">
        <f>FV(B20,C20,D20,E20,F20)</f>
        <v>333891.23010253906</v>
      </c>
    </row>
    <row r="21" spans="1:11" x14ac:dyDescent="0.15">
      <c r="A21" s="13">
        <v>10000</v>
      </c>
      <c r="B21" s="13">
        <v>1</v>
      </c>
      <c r="C21" s="13">
        <v>10</v>
      </c>
      <c r="E21" s="13">
        <v>-109.66796875</v>
      </c>
      <c r="F21" s="13">
        <v>0</v>
      </c>
      <c r="J21" s="16">
        <f>PMT(B21,C21,E21,A21,F21)</f>
        <v>100</v>
      </c>
    </row>
    <row r="22" spans="1:11" x14ac:dyDescent="0.15">
      <c r="A22" s="13">
        <v>10000</v>
      </c>
      <c r="B22" s="13">
        <v>1</v>
      </c>
      <c r="C22" s="13">
        <v>10</v>
      </c>
      <c r="E22" s="13">
        <v>-209.5703125</v>
      </c>
      <c r="F22" s="13">
        <v>1</v>
      </c>
      <c r="J22" s="16">
        <f>PMT(B22,C22,E22,A22,F22)</f>
        <v>100</v>
      </c>
    </row>
    <row r="23" spans="1:11" x14ac:dyDescent="0.15">
      <c r="A23" s="13">
        <v>10000</v>
      </c>
      <c r="B23" s="13">
        <v>1</v>
      </c>
      <c r="D23" s="13">
        <v>100</v>
      </c>
      <c r="E23" s="13">
        <v>-109.66796875</v>
      </c>
      <c r="F23" s="13">
        <v>0</v>
      </c>
      <c r="K23" s="16">
        <f>NPER(B23,D23,E23,A23,F23)</f>
        <v>10</v>
      </c>
    </row>
    <row r="24" spans="1:11" x14ac:dyDescent="0.15">
      <c r="A24" s="13">
        <v>10000</v>
      </c>
      <c r="B24" s="13">
        <v>1</v>
      </c>
      <c r="D24" s="13">
        <v>100</v>
      </c>
      <c r="E24" s="13">
        <v>-209.5703125</v>
      </c>
      <c r="F24" s="13">
        <v>1</v>
      </c>
    </row>
    <row r="25" spans="1:11" x14ac:dyDescent="0.15">
      <c r="F25" s="13">
        <v>0</v>
      </c>
    </row>
    <row r="26" spans="1:11" x14ac:dyDescent="0.15">
      <c r="F26" s="13">
        <v>1</v>
      </c>
    </row>
    <row r="27" spans="1:11" x14ac:dyDescent="0.15">
      <c r="F27" s="13">
        <v>0</v>
      </c>
    </row>
    <row r="28" spans="1:11" x14ac:dyDescent="0.15">
      <c r="F28" s="13">
        <v>1</v>
      </c>
    </row>
    <row r="29" spans="1:11" x14ac:dyDescent="0.15">
      <c r="F29" s="13">
        <v>0</v>
      </c>
    </row>
    <row r="30" spans="1:11" x14ac:dyDescent="0.15">
      <c r="F30" s="13">
        <v>1</v>
      </c>
    </row>
    <row r="31" spans="1:11" x14ac:dyDescent="0.15">
      <c r="F31" s="13">
        <v>0</v>
      </c>
    </row>
    <row r="32" spans="1:11" x14ac:dyDescent="0.15">
      <c r="F32" s="13">
        <v>1</v>
      </c>
    </row>
    <row r="33" spans="6:6" x14ac:dyDescent="0.15">
      <c r="F33" s="13">
        <v>0</v>
      </c>
    </row>
    <row r="34" spans="6:6" x14ac:dyDescent="0.15">
      <c r="F34" s="13">
        <v>1</v>
      </c>
    </row>
  </sheetData>
  <phoneticPr fontId="0" type="noConversion"/>
  <pageMargins left="0.78749999999999998" right="0.78749999999999998" top="0.78749999999999998" bottom="0.78749999999999998" header="0.5" footer="0.5"/>
  <pageSetup paperSize="9" firstPageNumber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93A2-35AF-DE42-800E-4096C9F171E9}">
  <sheetPr codeName="Sheet3"/>
  <dimension ref="A1:I19"/>
  <sheetViews>
    <sheetView workbookViewId="0">
      <selection activeCell="A15" sqref="A15"/>
    </sheetView>
  </sheetViews>
  <sheetFormatPr baseColWidth="10" defaultColWidth="9" defaultRowHeight="13" x14ac:dyDescent="0.15"/>
  <cols>
    <col min="1" max="1" width="9" style="15"/>
    <col min="2" max="2" width="19.6640625" style="15" bestFit="1" customWidth="1"/>
    <col min="3" max="5" width="13.6640625" style="15" bestFit="1" customWidth="1"/>
    <col min="6" max="6" width="17.6640625" style="15" bestFit="1" customWidth="1"/>
    <col min="7" max="7" width="15.33203125" style="15" bestFit="1" customWidth="1"/>
    <col min="8" max="8" width="13.6640625" style="15" bestFit="1" customWidth="1"/>
    <col min="9" max="9" width="14.33203125" style="15" bestFit="1" customWidth="1"/>
    <col min="10" max="16384" width="9" style="15"/>
  </cols>
  <sheetData>
    <row r="1" spans="1:7" x14ac:dyDescent="0.15">
      <c r="B1" s="15">
        <v>1</v>
      </c>
      <c r="C1" s="15">
        <v>1</v>
      </c>
      <c r="D1" s="15">
        <v>0</v>
      </c>
      <c r="E1" s="15">
        <v>1</v>
      </c>
      <c r="F1" s="15">
        <v>123.12</v>
      </c>
      <c r="G1" s="15">
        <f>-1*B1</f>
        <v>-1</v>
      </c>
    </row>
    <row r="2" spans="1:7" x14ac:dyDescent="0.15">
      <c r="B2" s="15">
        <v>2</v>
      </c>
      <c r="C2" s="15">
        <v>1</v>
      </c>
      <c r="D2" s="15">
        <v>0</v>
      </c>
      <c r="E2" s="15">
        <v>2</v>
      </c>
      <c r="F2" s="15">
        <v>33.333300000000001</v>
      </c>
      <c r="G2" s="15">
        <f t="shared" ref="G2:G10" si="0">-1*B2</f>
        <v>-2</v>
      </c>
    </row>
    <row r="3" spans="1:7" x14ac:dyDescent="0.15">
      <c r="B3" s="15">
        <v>3</v>
      </c>
      <c r="C3" s="15">
        <v>1</v>
      </c>
      <c r="D3" s="15">
        <v>0</v>
      </c>
      <c r="E3" s="15">
        <v>1</v>
      </c>
      <c r="F3" s="15">
        <f>2/3</f>
        <v>0.66666666666666663</v>
      </c>
      <c r="G3" s="15">
        <f t="shared" si="0"/>
        <v>-3</v>
      </c>
    </row>
    <row r="4" spans="1:7" x14ac:dyDescent="0.15">
      <c r="B4" s="15">
        <v>4</v>
      </c>
      <c r="C4" s="15">
        <v>1</v>
      </c>
      <c r="D4" s="15">
        <v>0</v>
      </c>
      <c r="E4" s="15">
        <v>2</v>
      </c>
      <c r="F4" s="15">
        <v>5.3782800000000002</v>
      </c>
      <c r="G4" s="15">
        <f t="shared" si="0"/>
        <v>-4</v>
      </c>
    </row>
    <row r="5" spans="1:7" x14ac:dyDescent="0.15">
      <c r="B5" s="15">
        <v>5</v>
      </c>
      <c r="C5" s="15">
        <v>1</v>
      </c>
      <c r="D5" s="15">
        <v>0</v>
      </c>
      <c r="E5" s="15">
        <v>1</v>
      </c>
      <c r="F5" s="15">
        <v>0.999</v>
      </c>
      <c r="G5" s="15">
        <f t="shared" si="0"/>
        <v>-5</v>
      </c>
    </row>
    <row r="6" spans="1:7" x14ac:dyDescent="0.15">
      <c r="B6" s="15">
        <v>6</v>
      </c>
      <c r="C6" s="15">
        <v>1</v>
      </c>
      <c r="D6" s="15">
        <v>0</v>
      </c>
      <c r="E6" s="15">
        <v>2</v>
      </c>
      <c r="G6" s="15">
        <f t="shared" si="0"/>
        <v>-6</v>
      </c>
    </row>
    <row r="7" spans="1:7" x14ac:dyDescent="0.15">
      <c r="B7" s="15">
        <v>7</v>
      </c>
      <c r="C7" s="15">
        <v>1</v>
      </c>
      <c r="D7" s="15">
        <v>0</v>
      </c>
      <c r="E7" s="15">
        <v>1</v>
      </c>
      <c r="G7" s="15">
        <f t="shared" si="0"/>
        <v>-7</v>
      </c>
    </row>
    <row r="8" spans="1:7" x14ac:dyDescent="0.15">
      <c r="B8" s="15">
        <v>8</v>
      </c>
      <c r="C8" s="15">
        <v>1</v>
      </c>
      <c r="D8" s="15">
        <v>0</v>
      </c>
      <c r="E8" s="15">
        <v>2</v>
      </c>
      <c r="G8" s="15">
        <f t="shared" si="0"/>
        <v>-8</v>
      </c>
    </row>
    <row r="9" spans="1:7" x14ac:dyDescent="0.15">
      <c r="B9" s="15">
        <v>9</v>
      </c>
      <c r="C9" s="15">
        <v>1</v>
      </c>
      <c r="D9" s="15">
        <v>0</v>
      </c>
      <c r="E9" s="15">
        <v>1</v>
      </c>
      <c r="G9" s="15">
        <f t="shared" si="0"/>
        <v>-9</v>
      </c>
    </row>
    <row r="10" spans="1:7" x14ac:dyDescent="0.15">
      <c r="B10" s="15">
        <v>10</v>
      </c>
      <c r="C10" s="15">
        <v>1</v>
      </c>
      <c r="D10" s="15">
        <v>0</v>
      </c>
      <c r="E10" s="15">
        <v>2</v>
      </c>
      <c r="G10" s="15">
        <f t="shared" si="0"/>
        <v>-10</v>
      </c>
    </row>
    <row r="12" spans="1:7" x14ac:dyDescent="0.15">
      <c r="A12" s="15" t="s">
        <v>79</v>
      </c>
      <c r="B12" s="15">
        <f t="shared" ref="B12:G12" si="1">AVEDEV(B1:B10)</f>
        <v>2.5</v>
      </c>
      <c r="C12" s="15">
        <f t="shared" si="1"/>
        <v>0</v>
      </c>
      <c r="D12" s="15">
        <f t="shared" si="1"/>
        <v>0</v>
      </c>
      <c r="E12" s="15">
        <f t="shared" si="1"/>
        <v>0.5</v>
      </c>
      <c r="F12" s="15">
        <f t="shared" si="1"/>
        <v>36.421760533333334</v>
      </c>
      <c r="G12" s="15">
        <f t="shared" si="1"/>
        <v>2.5</v>
      </c>
    </row>
    <row r="13" spans="1:7" x14ac:dyDescent="0.15">
      <c r="A13" s="15" t="s">
        <v>80</v>
      </c>
      <c r="B13" s="15">
        <f t="shared" ref="B13:G13" si="2">STDEV(B1:B10)</f>
        <v>3.0276503540974917</v>
      </c>
      <c r="C13" s="15">
        <f t="shared" si="2"/>
        <v>0</v>
      </c>
      <c r="D13" s="15">
        <f t="shared" si="2"/>
        <v>0</v>
      </c>
      <c r="E13" s="15">
        <f t="shared" si="2"/>
        <v>0.52704627669472992</v>
      </c>
      <c r="F13" s="15">
        <f t="shared" si="2"/>
        <v>52.33006233652096</v>
      </c>
      <c r="G13" s="15">
        <f t="shared" si="2"/>
        <v>3.0276503540974917</v>
      </c>
    </row>
    <row r="14" spans="1:7" x14ac:dyDescent="0.15">
      <c r="A14" s="15" t="s">
        <v>81</v>
      </c>
      <c r="B14" s="15">
        <f>DEVSQ(B1:B10)</f>
        <v>82.5</v>
      </c>
      <c r="C14" s="15">
        <f>DEVSQ(C1:C10)</f>
        <v>0</v>
      </c>
      <c r="D14" s="15">
        <f>DEVSQ(D1:D10)</f>
        <v>0</v>
      </c>
      <c r="E14" s="15">
        <f>DEVSQ(E1:E10)</f>
        <v>2.5</v>
      </c>
      <c r="F14" s="15">
        <f>DEVSQ(F1:F5)</f>
        <v>10953.741696576677</v>
      </c>
      <c r="G14" s="15">
        <f>DEVSQ(G1:G10)</f>
        <v>82.5</v>
      </c>
    </row>
    <row r="15" spans="1:7" x14ac:dyDescent="0.15">
      <c r="A15" s="15" t="s">
        <v>82</v>
      </c>
      <c r="B15" s="15">
        <f t="shared" ref="B15:G15" si="3">LARGE(B1:B10,3)</f>
        <v>8</v>
      </c>
      <c r="C15" s="15">
        <f t="shared" si="3"/>
        <v>1</v>
      </c>
      <c r="D15" s="15">
        <f t="shared" si="3"/>
        <v>0</v>
      </c>
      <c r="E15" s="15">
        <f t="shared" si="3"/>
        <v>2</v>
      </c>
      <c r="F15" s="15">
        <f t="shared" si="3"/>
        <v>5.3782800000000002</v>
      </c>
      <c r="G15" s="15">
        <f t="shared" si="3"/>
        <v>-3</v>
      </c>
    </row>
    <row r="16" spans="1:7" x14ac:dyDescent="0.15">
      <c r="A16" s="15" t="s">
        <v>83</v>
      </c>
      <c r="B16" s="15">
        <f t="shared" ref="B16:G16" si="4">SMALL(B1:B10,3)</f>
        <v>3</v>
      </c>
      <c r="C16" s="15">
        <f t="shared" si="4"/>
        <v>1</v>
      </c>
      <c r="D16" s="15">
        <f t="shared" si="4"/>
        <v>0</v>
      </c>
      <c r="E16" s="15">
        <f t="shared" si="4"/>
        <v>1</v>
      </c>
      <c r="F16" s="15">
        <f t="shared" si="4"/>
        <v>5.3782800000000002</v>
      </c>
      <c r="G16" s="15">
        <f t="shared" si="4"/>
        <v>-8</v>
      </c>
    </row>
    <row r="17" spans="1:9" x14ac:dyDescent="0.15">
      <c r="A17" s="15" t="s">
        <v>84</v>
      </c>
      <c r="B17" s="15">
        <f t="shared" ref="B17:G17" si="5">MEDIAN(B1:B10)</f>
        <v>5.5</v>
      </c>
      <c r="C17" s="15">
        <f t="shared" si="5"/>
        <v>1</v>
      </c>
      <c r="D17" s="15">
        <f t="shared" si="5"/>
        <v>0</v>
      </c>
      <c r="E17" s="15">
        <f t="shared" si="5"/>
        <v>1.5</v>
      </c>
      <c r="F17" s="15">
        <f t="shared" si="5"/>
        <v>5.3782800000000002</v>
      </c>
      <c r="G17" s="15">
        <f t="shared" si="5"/>
        <v>-5.5</v>
      </c>
      <c r="H17" s="15">
        <f>MEDIAN(B1:B9)</f>
        <v>5</v>
      </c>
      <c r="I17" s="15">
        <f>MEDIAN(G2:G10)</f>
        <v>-6</v>
      </c>
    </row>
    <row r="18" spans="1:9" x14ac:dyDescent="0.15">
      <c r="A18" s="15" t="s">
        <v>85</v>
      </c>
      <c r="B18" s="15" t="e">
        <f t="shared" ref="B18:G18" si="6">MODE(B1:B10)</f>
        <v>#N/A</v>
      </c>
      <c r="C18" s="15">
        <f t="shared" si="6"/>
        <v>1</v>
      </c>
      <c r="D18" s="15">
        <f t="shared" si="6"/>
        <v>0</v>
      </c>
      <c r="E18" s="15">
        <f t="shared" si="6"/>
        <v>1</v>
      </c>
      <c r="F18" s="15" t="e">
        <f t="shared" si="6"/>
        <v>#N/A</v>
      </c>
      <c r="G18" s="15" t="e">
        <f t="shared" si="6"/>
        <v>#N/A</v>
      </c>
      <c r="H18" s="15">
        <f>MODE(B1:D4,D5)</f>
        <v>1</v>
      </c>
    </row>
    <row r="19" spans="1:9" x14ac:dyDescent="0.15">
      <c r="A19" s="15" t="s">
        <v>1210</v>
      </c>
      <c r="B19" s="15">
        <f t="shared" ref="B19:G19" si="7">VAR(B1:B10)</f>
        <v>9.1666666666666661</v>
      </c>
      <c r="C19" s="15">
        <f t="shared" si="7"/>
        <v>0</v>
      </c>
      <c r="D19" s="15">
        <f t="shared" si="7"/>
        <v>0</v>
      </c>
      <c r="E19" s="15">
        <f t="shared" si="7"/>
        <v>0.27777777777777779</v>
      </c>
      <c r="F19" s="15">
        <f t="shared" si="7"/>
        <v>2738.4354241441692</v>
      </c>
      <c r="G19" s="15">
        <f t="shared" si="7"/>
        <v>9.1666666666666661</v>
      </c>
    </row>
  </sheetData>
  <phoneticPr fontId="0" type="noConversion"/>
  <pageMargins left="0.78749999999999998" right="0.78749999999999998" top="0.78749999999999998" bottom="0.78749999999999998" header="0.5" footer="0.5"/>
  <pageSetup paperSize="9" firstPageNumber="0" fitToHeight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BF1A6-BD85-804F-8F66-C26B427C248B}">
  <sheetPr codeName="Sheet4"/>
  <dimension ref="A1:F18"/>
  <sheetViews>
    <sheetView workbookViewId="0">
      <selection activeCell="A18" sqref="A18"/>
    </sheetView>
  </sheetViews>
  <sheetFormatPr baseColWidth="10" defaultColWidth="8.6640625" defaultRowHeight="13" x14ac:dyDescent="0.15"/>
  <sheetData>
    <row r="1" spans="1:6" x14ac:dyDescent="0.15">
      <c r="A1" t="s">
        <v>86</v>
      </c>
      <c r="B1" t="str">
        <f>"1"</f>
        <v>1</v>
      </c>
      <c r="C1">
        <v>1</v>
      </c>
      <c r="D1" t="b">
        <v>1</v>
      </c>
      <c r="E1">
        <f>F1</f>
        <v>0</v>
      </c>
    </row>
    <row r="2" spans="1:6" x14ac:dyDescent="0.15">
      <c r="A2" t="str">
        <f>"TRUE"</f>
        <v>TRUE</v>
      </c>
      <c r="B2" t="str">
        <f>"2.3"</f>
        <v>2.3</v>
      </c>
      <c r="C2">
        <v>123.23</v>
      </c>
      <c r="D2" t="b">
        <v>0</v>
      </c>
      <c r="E2" s="18">
        <f>SUM(1,2)</f>
        <v>3</v>
      </c>
      <c r="F2">
        <v>1</v>
      </c>
    </row>
    <row r="3" spans="1:6" x14ac:dyDescent="0.15">
      <c r="A3" t="str">
        <f>"FALSE"</f>
        <v>FALSE</v>
      </c>
      <c r="B3" t="str">
        <f>B2</f>
        <v>2.3</v>
      </c>
      <c r="C3">
        <v>-12</v>
      </c>
      <c r="D3" t="b">
        <f>D1</f>
        <v>1</v>
      </c>
    </row>
    <row r="5" spans="1:6" x14ac:dyDescent="0.15">
      <c r="C5">
        <v>12</v>
      </c>
    </row>
    <row r="6" spans="1:6" x14ac:dyDescent="0.15">
      <c r="E6" t="str">
        <f>CONCATENATE(E2,"1")</f>
        <v>31</v>
      </c>
    </row>
    <row r="8" spans="1:6" x14ac:dyDescent="0.15">
      <c r="A8" t="e">
        <f>LARGE(C4:C7,2)</f>
        <v>#NUM!</v>
      </c>
      <c r="E8">
        <f>F1</f>
        <v>0</v>
      </c>
    </row>
    <row r="10" spans="1:6" x14ac:dyDescent="0.15">
      <c r="E10">
        <f>MAX(E8,-1)</f>
        <v>0</v>
      </c>
    </row>
    <row r="12" spans="1:6" x14ac:dyDescent="0.15">
      <c r="A12" t="str">
        <f>"TRUE"</f>
        <v>TRUE</v>
      </c>
    </row>
    <row r="13" spans="1:6" x14ac:dyDescent="0.15">
      <c r="A13" t="e">
        <f>AVERAGEA("TRUE",1)</f>
        <v>#VALUE!</v>
      </c>
    </row>
    <row r="14" spans="1:6" x14ac:dyDescent="0.15">
      <c r="A14">
        <f>AVERAGEA(A12,2)</f>
        <v>1</v>
      </c>
    </row>
    <row r="16" spans="1:6" x14ac:dyDescent="0.15">
      <c r="A16" t="s">
        <v>87</v>
      </c>
      <c r="B16">
        <f>C16</f>
        <v>0</v>
      </c>
    </row>
    <row r="18" spans="1:1" x14ac:dyDescent="0.15">
      <c r="A18">
        <f>AVERAGEA("1",1,A16,B16)</f>
        <v>0.5</v>
      </c>
    </row>
  </sheetData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EverythingTests</vt:lpstr>
      <vt:lpstr>FinanceLibTests</vt:lpstr>
      <vt:lpstr>StatsLibTests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adeshmukh</dc:creator>
  <cp:keywords/>
  <dc:description/>
  <cp:lastModifiedBy>Dietmar Rietsch</cp:lastModifiedBy>
  <cp:revision>1</cp:revision>
  <cp:lastPrinted>2005-05-12T00:27:33Z</cp:lastPrinted>
  <dcterms:created xsi:type="dcterms:W3CDTF">2005-05-11T13:46:48Z</dcterms:created>
  <dcterms:modified xsi:type="dcterms:W3CDTF">2026-08-20T14:04:23Z</dcterms:modified>
</cp:coreProperties>
</file>