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405BF5C5-A945-C145-9A27-F26B4183F38E}" xr6:coauthVersionLast="47" xr6:coauthVersionMax="47" xr10:uidLastSave="{00000000-0000-0000-0000-000000000000}"/>
  <bookViews>
    <workbookView xWindow="32760" yWindow="32760" windowWidth="20500" windowHeight="7540" activeTab="1" xr2:uid="{86DAB1D8-6C05-F04B-9D30-A4315E6A5FE9}"/>
  </bookViews>
  <sheets>
    <sheet name="Read Me" sheetId="3" r:id="rId1"/>
    <sheet name="IF" sheetId="2" r:id="rId2"/>
  </sheets>
  <definedNames>
    <definedName name="numberArea">IF!#REF!</definedName>
    <definedName name="oneByOne">IF!$L$7</definedName>
    <definedName name="singleColumn">IF!$K$5:$K$8</definedName>
    <definedName name="singleRow">IF!$J$6:$N$6</definedName>
    <definedName name="threeByThree">IF!$K$6:$M$8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2" l="1" a="1"/>
  <c r="B64" i="2" s="1"/>
  <c r="B62" i="2"/>
  <c r="B61" i="2"/>
  <c r="B59" i="2" a="1"/>
  <c r="B59" i="2"/>
  <c r="B58" i="2" a="1"/>
  <c r="B58" i="2" s="1"/>
  <c r="B57" i="2" a="1"/>
  <c r="B57" i="2" s="1"/>
  <c r="B56" i="2" a="1"/>
  <c r="B56" i="2" s="1"/>
  <c r="B53" i="2" a="1"/>
  <c r="B53" i="2" s="1"/>
  <c r="B52" i="2" a="1"/>
  <c r="B52" i="2" s="1"/>
  <c r="B55" i="2" a="1"/>
  <c r="B55" i="2" s="1"/>
  <c r="B54" i="2" a="1"/>
  <c r="B54" i="2" s="1"/>
  <c r="B51" i="2" a="1"/>
  <c r="B51" i="2"/>
  <c r="B50" i="2" a="1"/>
  <c r="B50" i="2" s="1"/>
  <c r="B48" i="2" a="1"/>
  <c r="B48" i="2" s="1"/>
  <c r="B47" i="2" a="1"/>
  <c r="B47" i="2" s="1"/>
  <c r="B41" i="2" a="1"/>
  <c r="B42" i="2" s="1"/>
  <c r="B22" i="2" a="1"/>
  <c r="B26" i="2" s="1"/>
  <c r="B35" i="2" a="1"/>
  <c r="B35" i="2" s="1"/>
  <c r="B28" i="2" a="1"/>
  <c r="B28" i="2" s="1"/>
  <c r="B18" i="2"/>
  <c r="B19" i="2"/>
  <c r="B20" i="2"/>
  <c r="B17" i="2"/>
  <c r="B15" i="2"/>
  <c r="B11" i="2"/>
  <c r="B12" i="2"/>
  <c r="B13" i="2"/>
  <c r="B10" i="2"/>
  <c r="B6" i="2"/>
  <c r="B7" i="2"/>
  <c r="B8" i="2"/>
  <c r="B5" i="2"/>
  <c r="B65" i="2"/>
  <c r="B25" i="2" l="1"/>
  <c r="B23" i="2"/>
  <c r="B43" i="2"/>
  <c r="B22" i="2"/>
  <c r="B36" i="2"/>
  <c r="B45" i="2"/>
  <c r="B44" i="2"/>
  <c r="B37" i="2"/>
  <c r="B41" i="2"/>
  <c r="B24" i="2"/>
  <c r="B39" i="2"/>
  <c r="B38" i="2"/>
</calcChain>
</file>

<file path=xl/sharedStrings.xml><?xml version="1.0" encoding="utf-8"?>
<sst xmlns="http://schemas.openxmlformats.org/spreadsheetml/2006/main" count="62" uniqueCount="50">
  <si>
    <t>x</t>
  </si>
  <si>
    <t>This spreadsheet contains various test cases for lookup functions: VLOOKUP, HLOOKUP, LOOKUP and MATCH</t>
  </si>
  <si>
    <t>Name of the main junit test class which uses this spreadsheet:</t>
  </si>
  <si>
    <t>(The content of cell 'Read Me'!A3 is confirmed by the test)</t>
  </si>
  <si>
    <t>Every sheet besides this first one contains formula evaluation test cases in a standardised format.</t>
  </si>
  <si>
    <t>On row 4 of each sheet, in columns B,C,D there are the column headings "Formula", "Expected Result" and "Comment"</t>
  </si>
  <si>
    <t xml:space="preserve">The test iterates down from row 5 onward  until a the text "&lt;end&gt;" is found in column A.   Rows with "&lt;skip&gt;" in column A are ignored (useful for currently unsupported behaviour).  Otherwise column A can be used for commenting the group of rows below. </t>
  </si>
  <si>
    <t>If the evaluated result of column B does not match the expected result in column C, the junit test will report a failure.  Test failures get annotated with the section and row comments, if any.</t>
  </si>
  <si>
    <t>Besides the first 4 columns, row 5 onwards, the junit test does not inspect any other cells in the sheet.  The other cells can be used freely to set up test data.</t>
  </si>
  <si>
    <t>Care should be taken to not only make the values in column C match those in column B, but also to make sure column C contains only simple literal values.  This can be achieved easily by 'pasting special' from column B to C, selecting the 'as values' option.</t>
  </si>
  <si>
    <t>&lt;end&gt;</t>
  </si>
  <si>
    <t>Formula</t>
  </si>
  <si>
    <t>Expected Result</t>
  </si>
  <si>
    <t>Comment</t>
  </si>
  <si>
    <t>Sheet Comment:</t>
  </si>
  <si>
    <t>Simple tests of IF using basic argument values</t>
  </si>
  <si>
    <t>Data</t>
  </si>
  <si>
    <t>Fail</t>
  </si>
  <si>
    <t>Pass</t>
  </si>
  <si>
    <t>Basic case</t>
  </si>
  <si>
    <t>run a test, return one result if TRUE, another if FALSE</t>
  </si>
  <si>
    <t>org.apache.poi.ss.formula.functions.TestIFFunctionFromSpreadsheet</t>
  </si>
  <si>
    <t>reverse of B5:B8, returns same result</t>
  </si>
  <si>
    <t>C</t>
  </si>
  <si>
    <t>nested Ifs</t>
  </si>
  <si>
    <t>If cell is blank</t>
  </si>
  <si>
    <t>Open</t>
  </si>
  <si>
    <t>Closed</t>
  </si>
  <si>
    <t>bug 62904</t>
  </si>
  <si>
    <t>arrays arguments, 3 args</t>
  </si>
  <si>
    <t>array arguments, 2 args</t>
  </si>
  <si>
    <t>array arguments</t>
  </si>
  <si>
    <t>logical test is a reference</t>
  </si>
  <si>
    <t>POI</t>
  </si>
  <si>
    <t>Tika</t>
  </si>
  <si>
    <t>the last date POI was donated to</t>
  </si>
  <si>
    <t>the last date Tika was donated to</t>
  </si>
  <si>
    <t>test data</t>
  </si>
  <si>
    <t>SUM-IF 2nd arg missing</t>
  </si>
  <si>
    <t>MIN-IF donation to POI</t>
  </si>
  <si>
    <t>SUM-IF 3rd arg missing</t>
  </si>
  <si>
    <t>MAX-IF donation to Tika</t>
  </si>
  <si>
    <t>SMALL-IF 2nd smallest donation</t>
  </si>
  <si>
    <t>LARGE-IF 2nd largest donation</t>
  </si>
  <si>
    <t>SUM-IF total donations to POI with 3rd scalar arg</t>
  </si>
  <si>
    <t>SUM-IF total donations to POI with 3rd array arg</t>
  </si>
  <si>
    <t>SUM-IF total donations to POI</t>
  </si>
  <si>
    <t>MAX-IF the largest donation to POI</t>
  </si>
  <si>
    <t>2nd arg is error, non-array formula</t>
  </si>
  <si>
    <t>2nd arg is error, array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</si>
</sst>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2">
    <xf numFmtId="0" fontId="0" fillId="0" borderId="0"/>
    <xf numFmtId="176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NumberFormat="1"/>
    <xf numFmtId="14" fontId="2" fillId="0" borderId="1" xfId="1" quotePrefix="1" applyNumberFormat="1" applyFont="1" applyFill="1" applyBorder="1" applyAlignment="1">
      <alignment horizontal="center" vertical="center"/>
    </xf>
    <xf numFmtId="0" fontId="2" fillId="0" borderId="1" xfId="1" quotePrefix="1" applyNumberFormat="1" applyFont="1" applyFill="1" applyBorder="1" applyAlignment="1">
      <alignment horizontal="center" vertical="center"/>
    </xf>
    <xf numFmtId="176" fontId="2" fillId="0" borderId="1" xfId="1" quotePrefix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2" fillId="0" borderId="0" xfId="1" quotePrefix="1" applyNumberFormat="1" applyFont="1" applyFill="1" applyBorder="1" applyAlignment="1">
      <alignment horizontal="center" vertical="center"/>
    </xf>
    <xf numFmtId="176" fontId="2" fillId="0" borderId="0" xfId="1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2" xfId="0" applyFont="1" applyBorder="1" applyAlignment="1">
      <alignment horizontal="center"/>
    </xf>
  </cellXfs>
  <cellStyles count="2">
    <cellStyle name="Standard" xfId="0" builtinId="0"/>
    <cellStyle name="Währung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9FDE-048E-EA4C-A795-7A1CBB359636}">
  <dimension ref="A1:A11"/>
  <sheetViews>
    <sheetView workbookViewId="0">
      <selection activeCell="A8" sqref="A8"/>
    </sheetView>
  </sheetViews>
  <sheetFormatPr baseColWidth="10" defaultRowHeight="15" x14ac:dyDescent="0.2"/>
  <cols>
    <col min="1" max="1" width="108.5" bestFit="1" customWidth="1"/>
    <col min="2" max="256" width="8.83203125" customWidth="1"/>
  </cols>
  <sheetData>
    <row r="1" spans="1:1" x14ac:dyDescent="0.2">
      <c r="A1" t="s">
        <v>1</v>
      </c>
    </row>
    <row r="2" spans="1:1" x14ac:dyDescent="0.2">
      <c r="A2" t="s">
        <v>2</v>
      </c>
    </row>
    <row r="3" spans="1:1" x14ac:dyDescent="0.2">
      <c r="A3" t="s">
        <v>21</v>
      </c>
    </row>
    <row r="4" spans="1:1" x14ac:dyDescent="0.2">
      <c r="A4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ht="32" x14ac:dyDescent="0.2">
      <c r="A8" s="1" t="s">
        <v>6</v>
      </c>
    </row>
    <row r="9" spans="1:1" ht="32" x14ac:dyDescent="0.2">
      <c r="A9" s="2" t="s">
        <v>7</v>
      </c>
    </row>
    <row r="10" spans="1:1" ht="32" x14ac:dyDescent="0.2">
      <c r="A10" s="1" t="s">
        <v>8</v>
      </c>
    </row>
    <row r="11" spans="1:1" ht="32" x14ac:dyDescent="0.2">
      <c r="A1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A33A-1E53-0B45-A128-FAA9B4403DD3}">
  <dimension ref="A1:H67"/>
  <sheetViews>
    <sheetView tabSelected="1" topLeftCell="A49" workbookViewId="0">
      <selection activeCell="C66" sqref="C66"/>
    </sheetView>
  </sheetViews>
  <sheetFormatPr baseColWidth="10" defaultRowHeight="15" x14ac:dyDescent="0.2"/>
  <cols>
    <col min="1" max="1" width="6.5" bestFit="1" customWidth="1"/>
    <col min="2" max="2" width="16" bestFit="1" customWidth="1"/>
    <col min="3" max="3" width="49.5" bestFit="1" customWidth="1"/>
    <col min="4" max="4" width="33.1640625" customWidth="1"/>
    <col min="5" max="5" width="10.33203125" customWidth="1"/>
    <col min="6" max="6" width="12" customWidth="1"/>
    <col min="7" max="7" width="16" customWidth="1"/>
    <col min="8" max="8" width="8.83203125" customWidth="1"/>
    <col min="9" max="11" width="6.1640625" bestFit="1" customWidth="1"/>
    <col min="12" max="13" width="4" bestFit="1" customWidth="1"/>
    <col min="14" max="14" width="2.1640625" bestFit="1" customWidth="1"/>
    <col min="15" max="256" width="8.83203125" customWidth="1"/>
  </cols>
  <sheetData>
    <row r="1" spans="2:5" x14ac:dyDescent="0.2">
      <c r="B1" s="3" t="s">
        <v>14</v>
      </c>
      <c r="C1" t="s">
        <v>15</v>
      </c>
    </row>
    <row r="3" spans="2:5" x14ac:dyDescent="0.2">
      <c r="B3" s="3" t="s">
        <v>11</v>
      </c>
      <c r="C3" s="3" t="s">
        <v>12</v>
      </c>
      <c r="D3" s="3" t="s">
        <v>13</v>
      </c>
      <c r="E3" s="3" t="s">
        <v>16</v>
      </c>
    </row>
    <row r="4" spans="2:5" x14ac:dyDescent="0.2">
      <c r="D4" t="s">
        <v>19</v>
      </c>
      <c r="E4" s="4"/>
    </row>
    <row r="5" spans="2:5" x14ac:dyDescent="0.2">
      <c r="B5" t="str">
        <f>IF(E5&gt;10, "Pass", "Fail")</f>
        <v>Fail</v>
      </c>
      <c r="C5" t="s">
        <v>17</v>
      </c>
      <c r="D5" s="17" t="s">
        <v>20</v>
      </c>
      <c r="E5">
        <v>5</v>
      </c>
    </row>
    <row r="6" spans="2:5" x14ac:dyDescent="0.2">
      <c r="B6" t="str">
        <f>IF(E6&gt;10, "Pass", "Fail")</f>
        <v>Fail</v>
      </c>
      <c r="C6" t="s">
        <v>17</v>
      </c>
      <c r="D6" s="17"/>
      <c r="E6">
        <v>10</v>
      </c>
    </row>
    <row r="7" spans="2:5" x14ac:dyDescent="0.2">
      <c r="B7" t="str">
        <f>IF(E7&gt;10, "Pass", "Fail")</f>
        <v>Pass</v>
      </c>
      <c r="C7" t="s">
        <v>18</v>
      </c>
      <c r="D7" s="17"/>
      <c r="E7">
        <v>15</v>
      </c>
    </row>
    <row r="8" spans="2:5" x14ac:dyDescent="0.2">
      <c r="B8" t="str">
        <f>IF(E8&gt;10, "Pass", "Fail")</f>
        <v>Pass</v>
      </c>
      <c r="C8" t="s">
        <v>18</v>
      </c>
      <c r="D8" s="17"/>
      <c r="E8">
        <v>20</v>
      </c>
    </row>
    <row r="9" spans="2:5" x14ac:dyDescent="0.2">
      <c r="D9" s="5"/>
    </row>
    <row r="10" spans="2:5" x14ac:dyDescent="0.2">
      <c r="B10" t="str">
        <f>IF(E10&lt;=10, "Fail", "Pass")</f>
        <v>Fail</v>
      </c>
      <c r="C10" t="s">
        <v>17</v>
      </c>
      <c r="D10" s="17" t="s">
        <v>22</v>
      </c>
      <c r="E10">
        <v>5</v>
      </c>
    </row>
    <row r="11" spans="2:5" x14ac:dyDescent="0.2">
      <c r="B11" t="str">
        <f>IF(E11&lt;=10, "Fail", "Pass")</f>
        <v>Fail</v>
      </c>
      <c r="C11" t="s">
        <v>17</v>
      </c>
      <c r="D11" s="17"/>
      <c r="E11">
        <v>10</v>
      </c>
    </row>
    <row r="12" spans="2:5" x14ac:dyDescent="0.2">
      <c r="B12" t="str">
        <f>IF(E12&lt;=10, "Fail", "Pass")</f>
        <v>Pass</v>
      </c>
      <c r="C12" t="s">
        <v>18</v>
      </c>
      <c r="D12" s="17"/>
      <c r="E12">
        <v>15</v>
      </c>
    </row>
    <row r="13" spans="2:5" x14ac:dyDescent="0.2">
      <c r="B13" t="str">
        <f>IF(E13&lt;=10, "Fail", "Pass")</f>
        <v>Pass</v>
      </c>
      <c r="C13" t="s">
        <v>18</v>
      </c>
      <c r="D13" s="17"/>
      <c r="E13">
        <v>20</v>
      </c>
    </row>
    <row r="14" spans="2:5" x14ac:dyDescent="0.2">
      <c r="D14" s="5"/>
    </row>
    <row r="15" spans="2:5" ht="14.25" customHeight="1" x14ac:dyDescent="0.2">
      <c r="B15" t="str">
        <f>IF(E15&lt;70,"F",IF(E15&lt;75,"D",IF(E15&lt;85,"C",IF(E15&lt;95,"B","A"))))</f>
        <v>C</v>
      </c>
      <c r="C15" t="s">
        <v>23</v>
      </c>
      <c r="D15" s="5" t="s">
        <v>24</v>
      </c>
      <c r="E15">
        <v>76</v>
      </c>
    </row>
    <row r="16" spans="2:5" ht="14.25" customHeight="1" x14ac:dyDescent="0.2">
      <c r="D16" s="5"/>
    </row>
    <row r="17" spans="2:6" ht="14.25" customHeight="1" x14ac:dyDescent="0.2">
      <c r="B17" t="str">
        <f>IF(E17="","Closed","Open")</f>
        <v>Open</v>
      </c>
      <c r="C17" t="s">
        <v>26</v>
      </c>
      <c r="D17" s="5" t="s">
        <v>25</v>
      </c>
      <c r="E17" t="s">
        <v>0</v>
      </c>
    </row>
    <row r="18" spans="2:6" ht="14.25" customHeight="1" x14ac:dyDescent="0.2">
      <c r="B18" t="str">
        <f>IF(E18="","Closed","Open")</f>
        <v>Closed</v>
      </c>
      <c r="C18" t="s">
        <v>27</v>
      </c>
      <c r="D18" s="5"/>
    </row>
    <row r="19" spans="2:6" ht="14.25" customHeight="1" x14ac:dyDescent="0.2">
      <c r="B19" t="str">
        <f>IF(E19="","Closed","Open")</f>
        <v>Closed</v>
      </c>
      <c r="C19" t="s">
        <v>27</v>
      </c>
      <c r="D19" s="5"/>
    </row>
    <row r="20" spans="2:6" ht="14.25" customHeight="1" x14ac:dyDescent="0.2">
      <c r="B20" t="str">
        <f>IF(E20="","Closed","Open")</f>
        <v>Open</v>
      </c>
      <c r="C20" t="s">
        <v>26</v>
      </c>
      <c r="D20" s="5"/>
      <c r="E20" t="s">
        <v>0</v>
      </c>
    </row>
    <row r="21" spans="2:6" ht="14.25" customHeight="1" x14ac:dyDescent="0.2">
      <c r="D21" s="5"/>
    </row>
    <row r="22" spans="2:6" ht="16" x14ac:dyDescent="0.2">
      <c r="B22">
        <f t="array" ref="B22:B26">IF(E22:E26&gt;3,0,E22:E26)</f>
        <v>1</v>
      </c>
      <c r="C22">
        <v>1</v>
      </c>
      <c r="D22" s="5" t="s">
        <v>29</v>
      </c>
      <c r="E22">
        <v>1</v>
      </c>
    </row>
    <row r="23" spans="2:6" x14ac:dyDescent="0.2">
      <c r="B23">
        <v>2</v>
      </c>
      <c r="C23">
        <v>2</v>
      </c>
      <c r="D23" s="5"/>
      <c r="E23">
        <v>2</v>
      </c>
    </row>
    <row r="24" spans="2:6" x14ac:dyDescent="0.2">
      <c r="B24">
        <v>3</v>
      </c>
      <c r="C24">
        <v>3</v>
      </c>
      <c r="D24" s="5"/>
      <c r="E24">
        <v>3</v>
      </c>
    </row>
    <row r="25" spans="2:6" x14ac:dyDescent="0.2">
      <c r="B25">
        <v>0</v>
      </c>
      <c r="C25" s="6">
        <v>0</v>
      </c>
      <c r="D25" s="5"/>
      <c r="E25">
        <v>4</v>
      </c>
    </row>
    <row r="26" spans="2:6" x14ac:dyDescent="0.2">
      <c r="B26">
        <v>0</v>
      </c>
      <c r="C26">
        <v>0</v>
      </c>
      <c r="D26" s="5"/>
      <c r="E26">
        <v>5</v>
      </c>
    </row>
    <row r="27" spans="2:6" x14ac:dyDescent="0.2">
      <c r="D27" s="5"/>
    </row>
    <row r="28" spans="2:6" ht="16" x14ac:dyDescent="0.2">
      <c r="B28">
        <f t="array" ref="B28">MIN(IF(E28:E33&gt;=F28,E28:E33))</f>
        <v>15</v>
      </c>
      <c r="C28">
        <v>15</v>
      </c>
      <c r="D28" s="5" t="s">
        <v>28</v>
      </c>
      <c r="E28">
        <v>5</v>
      </c>
      <c r="F28">
        <v>12</v>
      </c>
    </row>
    <row r="29" spans="2:6" x14ac:dyDescent="0.2">
      <c r="D29" s="5"/>
      <c r="E29">
        <v>10</v>
      </c>
    </row>
    <row r="30" spans="2:6" x14ac:dyDescent="0.2">
      <c r="D30" s="5"/>
      <c r="E30">
        <v>15</v>
      </c>
    </row>
    <row r="31" spans="2:6" x14ac:dyDescent="0.2">
      <c r="D31" s="5"/>
      <c r="E31">
        <v>20</v>
      </c>
    </row>
    <row r="32" spans="2:6" x14ac:dyDescent="0.2">
      <c r="D32" s="5"/>
      <c r="E32">
        <v>25</v>
      </c>
    </row>
    <row r="33" spans="2:8" x14ac:dyDescent="0.2">
      <c r="D33" s="5"/>
      <c r="E33">
        <v>30</v>
      </c>
    </row>
    <row r="34" spans="2:8" x14ac:dyDescent="0.2">
      <c r="D34" s="5"/>
    </row>
    <row r="35" spans="2:8" ht="16" x14ac:dyDescent="0.2">
      <c r="B35" t="b">
        <f t="array" ref="B35:B39">IF(E35:E39&gt;3,E35:E39)</f>
        <v>0</v>
      </c>
      <c r="C35" t="b">
        <v>0</v>
      </c>
      <c r="D35" s="5" t="s">
        <v>30</v>
      </c>
      <c r="E35">
        <v>1</v>
      </c>
    </row>
    <row r="36" spans="2:8" x14ac:dyDescent="0.2">
      <c r="B36" t="b">
        <v>0</v>
      </c>
      <c r="C36" t="b">
        <v>0</v>
      </c>
      <c r="D36" s="5"/>
      <c r="E36">
        <v>2</v>
      </c>
    </row>
    <row r="37" spans="2:8" x14ac:dyDescent="0.2">
      <c r="B37" t="b">
        <v>0</v>
      </c>
      <c r="C37" t="b">
        <v>0</v>
      </c>
      <c r="D37" s="5"/>
      <c r="E37">
        <v>3</v>
      </c>
    </row>
    <row r="38" spans="2:8" x14ac:dyDescent="0.2">
      <c r="B38">
        <v>4</v>
      </c>
      <c r="C38" s="6">
        <v>4</v>
      </c>
      <c r="D38" s="5"/>
      <c r="E38">
        <v>4</v>
      </c>
    </row>
    <row r="39" spans="2:8" x14ac:dyDescent="0.2">
      <c r="B39">
        <v>5</v>
      </c>
      <c r="C39">
        <v>5</v>
      </c>
      <c r="D39" s="5"/>
      <c r="E39">
        <v>5</v>
      </c>
    </row>
    <row r="40" spans="2:8" x14ac:dyDescent="0.2">
      <c r="D40" s="5"/>
    </row>
    <row r="41" spans="2:8" ht="16" x14ac:dyDescent="0.2">
      <c r="B41">
        <f t="array" ref="B41:B45">IF(E41:E45,0,E22:E26)</f>
        <v>1</v>
      </c>
      <c r="C41">
        <v>1</v>
      </c>
      <c r="D41" s="5" t="s">
        <v>31</v>
      </c>
      <c r="E41" t="b">
        <v>0</v>
      </c>
    </row>
    <row r="42" spans="2:8" ht="16" x14ac:dyDescent="0.2">
      <c r="B42">
        <v>2</v>
      </c>
      <c r="C42">
        <v>2</v>
      </c>
      <c r="D42" s="5" t="s">
        <v>32</v>
      </c>
      <c r="E42" t="b">
        <v>0</v>
      </c>
    </row>
    <row r="43" spans="2:8" x14ac:dyDescent="0.2">
      <c r="B43">
        <v>3</v>
      </c>
      <c r="C43">
        <v>3</v>
      </c>
      <c r="D43" s="5"/>
      <c r="E43" t="b">
        <v>0</v>
      </c>
    </row>
    <row r="44" spans="2:8" x14ac:dyDescent="0.2">
      <c r="B44">
        <v>0</v>
      </c>
      <c r="C44">
        <v>0</v>
      </c>
      <c r="D44" s="5"/>
      <c r="E44" t="b">
        <v>1</v>
      </c>
    </row>
    <row r="45" spans="2:8" x14ac:dyDescent="0.2">
      <c r="B45">
        <v>0</v>
      </c>
      <c r="C45">
        <v>0</v>
      </c>
      <c r="D45" s="5"/>
      <c r="E45" t="b">
        <v>1</v>
      </c>
    </row>
    <row r="46" spans="2:8" x14ac:dyDescent="0.2">
      <c r="D46" s="5"/>
      <c r="E46" s="18" t="s">
        <v>37</v>
      </c>
      <c r="F46" s="18"/>
      <c r="G46" s="18"/>
    </row>
    <row r="47" spans="2:8" ht="16" x14ac:dyDescent="0.2">
      <c r="B47" s="10">
        <f t="array" ref="B47">MAX(IF(F47:F51=F47,E47:E51))</f>
        <v>42928</v>
      </c>
      <c r="C47" s="10">
        <v>42928</v>
      </c>
      <c r="D47" s="5" t="s">
        <v>35</v>
      </c>
      <c r="E47" s="7">
        <v>38353</v>
      </c>
      <c r="F47" s="8" t="s">
        <v>33</v>
      </c>
      <c r="G47" s="9">
        <v>100</v>
      </c>
      <c r="H47" s="14">
        <v>1</v>
      </c>
    </row>
    <row r="48" spans="2:8" ht="16" x14ac:dyDescent="0.2">
      <c r="B48" s="10">
        <f t="array" ref="B48">MAX(IF(F47:F51=F48,E47:E51))</f>
        <v>39503</v>
      </c>
      <c r="C48" s="10">
        <v>39503</v>
      </c>
      <c r="D48" s="5" t="s">
        <v>36</v>
      </c>
      <c r="E48" s="7">
        <v>39503</v>
      </c>
      <c r="F48" s="8" t="s">
        <v>34</v>
      </c>
      <c r="G48" s="9">
        <v>300</v>
      </c>
      <c r="H48" s="14">
        <v>2</v>
      </c>
    </row>
    <row r="49" spans="2:8" x14ac:dyDescent="0.2">
      <c r="D49" s="5"/>
      <c r="E49" s="7">
        <v>42928</v>
      </c>
      <c r="F49" s="8" t="s">
        <v>33</v>
      </c>
      <c r="G49" s="9">
        <v>500</v>
      </c>
      <c r="H49" s="14">
        <v>3</v>
      </c>
    </row>
    <row r="50" spans="2:8" ht="16" x14ac:dyDescent="0.2">
      <c r="B50">
        <f t="array" ref="B50">MAX(IF(F47:F51=F47,G47:G51))</f>
        <v>500</v>
      </c>
      <c r="C50">
        <v>500</v>
      </c>
      <c r="D50" s="5" t="s">
        <v>47</v>
      </c>
      <c r="E50" s="7">
        <v>39299</v>
      </c>
      <c r="F50" s="8" t="s">
        <v>34</v>
      </c>
      <c r="G50" s="9">
        <v>200</v>
      </c>
      <c r="H50" s="14">
        <v>4</v>
      </c>
    </row>
    <row r="51" spans="2:8" ht="16" x14ac:dyDescent="0.2">
      <c r="B51">
        <f t="array" ref="B51">SUM(IF(F47:F51=F47,G47:G51))</f>
        <v>800</v>
      </c>
      <c r="C51">
        <v>800</v>
      </c>
      <c r="D51" s="5" t="s">
        <v>46</v>
      </c>
      <c r="E51" s="7">
        <v>40431</v>
      </c>
      <c r="F51" s="8" t="s">
        <v>33</v>
      </c>
      <c r="G51" s="9">
        <v>200</v>
      </c>
      <c r="H51" s="14">
        <v>5</v>
      </c>
    </row>
    <row r="52" spans="2:8" ht="32" x14ac:dyDescent="0.2">
      <c r="B52">
        <f t="array" ref="B52">SUM(IF(F47:F51=F47,G47:G51),H47:H51)</f>
        <v>815</v>
      </c>
      <c r="C52">
        <v>815</v>
      </c>
      <c r="D52" s="11" t="s">
        <v>45</v>
      </c>
      <c r="E52" s="7"/>
      <c r="F52" s="7"/>
      <c r="G52" s="7"/>
    </row>
    <row r="53" spans="2:8" ht="32" x14ac:dyDescent="0.2">
      <c r="B53">
        <f t="array" ref="B53">SUM(IF(F47:F51=F47,G47:G51),3)</f>
        <v>803</v>
      </c>
      <c r="C53">
        <v>803</v>
      </c>
      <c r="D53" s="11" t="s">
        <v>44</v>
      </c>
      <c r="E53" s="7"/>
      <c r="F53" s="7"/>
      <c r="G53" s="7"/>
    </row>
    <row r="54" spans="2:8" ht="16" x14ac:dyDescent="0.2">
      <c r="B54">
        <f t="array" ref="B54">LARGE(IF(F47:F51=F47,G47:G51),2)</f>
        <v>200</v>
      </c>
      <c r="C54">
        <v>200</v>
      </c>
      <c r="D54" s="11" t="s">
        <v>43</v>
      </c>
      <c r="E54" s="13"/>
      <c r="F54" s="13"/>
      <c r="G54" s="13"/>
    </row>
    <row r="55" spans="2:8" ht="16" x14ac:dyDescent="0.2">
      <c r="B55">
        <f t="array" ref="B55">SMALL(IF(F47:F51=F47,G47:G51),2)</f>
        <v>200</v>
      </c>
      <c r="C55">
        <v>200</v>
      </c>
      <c r="D55" s="11" t="s">
        <v>42</v>
      </c>
      <c r="E55" s="13"/>
      <c r="F55" s="13"/>
      <c r="G55" s="13"/>
    </row>
    <row r="56" spans="2:8" ht="16" x14ac:dyDescent="0.2">
      <c r="B56">
        <f t="array" ref="B56">SUM(IF(G47:G51&gt;300,,H47:H51))</f>
        <v>12</v>
      </c>
      <c r="C56">
        <v>12</v>
      </c>
      <c r="D56" s="12" t="s">
        <v>38</v>
      </c>
      <c r="E56" s="13"/>
      <c r="F56" s="13"/>
      <c r="G56" s="13"/>
    </row>
    <row r="57" spans="2:8" ht="16" x14ac:dyDescent="0.2">
      <c r="B57">
        <f t="array" ref="B57">SUM(IF(G47:G51&gt;300,H47:H51,))</f>
        <v>3</v>
      </c>
      <c r="C57">
        <v>3</v>
      </c>
      <c r="D57" s="12" t="s">
        <v>40</v>
      </c>
      <c r="E57" s="13"/>
      <c r="F57" s="13"/>
      <c r="G57" s="13"/>
    </row>
    <row r="58" spans="2:8" ht="16" x14ac:dyDescent="0.2">
      <c r="B58">
        <f t="array" ref="B58">MIN(IF(F47:F51=F47,G47:G51))</f>
        <v>100</v>
      </c>
      <c r="C58">
        <v>100</v>
      </c>
      <c r="D58" s="15" t="s">
        <v>39</v>
      </c>
      <c r="E58" s="13"/>
      <c r="F58" s="13"/>
      <c r="G58" s="13"/>
    </row>
    <row r="59" spans="2:8" ht="16" x14ac:dyDescent="0.2">
      <c r="B59">
        <f t="array" ref="B59">MAX(IF(F47:F51=F48,G47:G51))</f>
        <v>300</v>
      </c>
      <c r="C59">
        <v>300</v>
      </c>
      <c r="D59" s="15" t="s">
        <v>41</v>
      </c>
      <c r="E59" s="13"/>
      <c r="F59" s="13"/>
      <c r="G59" s="13"/>
    </row>
    <row r="60" spans="2:8" x14ac:dyDescent="0.2">
      <c r="D60" s="15"/>
      <c r="E60" s="13"/>
      <c r="F60" s="13"/>
      <c r="G60" s="13"/>
    </row>
    <row r="61" spans="2:8" ht="16" x14ac:dyDescent="0.2">
      <c r="B61">
        <f>IF(FALSE,#VALUE!,1)</f>
        <v>1</v>
      </c>
      <c r="C61">
        <v>1</v>
      </c>
      <c r="D61" s="16" t="s">
        <v>48</v>
      </c>
    </row>
    <row r="62" spans="2:8" x14ac:dyDescent="0.2">
      <c r="B62" t="e">
        <f>IF(TRUE,#VALUE!,1)</f>
        <v>#VALUE!</v>
      </c>
      <c r="C62" t="e">
        <v>#VALUE!</v>
      </c>
    </row>
    <row r="64" spans="2:8" x14ac:dyDescent="0.2">
      <c r="B64" t="e">
        <f t="array" ref="B64:B65">IF(E64:E65,#VALUE!,1)</f>
        <v>#VALUE!</v>
      </c>
      <c r="C64" t="e">
        <v>#VALUE!</v>
      </c>
      <c r="D64" t="s">
        <v>49</v>
      </c>
      <c r="E64" t="b">
        <v>1</v>
      </c>
    </row>
    <row r="65" spans="1:5" x14ac:dyDescent="0.2">
      <c r="B65">
        <v>1</v>
      </c>
      <c r="C65">
        <v>1</v>
      </c>
      <c r="E65" t="b">
        <v>0</v>
      </c>
    </row>
    <row r="67" spans="1:5" x14ac:dyDescent="0.2">
      <c r="A67" t="s">
        <v>10</v>
      </c>
    </row>
  </sheetData>
  <mergeCells count="3">
    <mergeCell ref="D5:D8"/>
    <mergeCell ref="D10:D13"/>
    <mergeCell ref="E46:G4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4</vt:i4>
      </vt:variant>
    </vt:vector>
  </HeadingPairs>
  <TitlesOfParts>
    <vt:vector size="6" baseType="lpstr">
      <vt:lpstr>Read Me</vt:lpstr>
      <vt:lpstr>IF</vt:lpstr>
      <vt:lpstr>oneByOne</vt:lpstr>
      <vt:lpstr>singleColumn</vt:lpstr>
      <vt:lpstr>singleRow</vt:lpstr>
      <vt:lpstr>threeByThree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Dietmar Rietsch</cp:lastModifiedBy>
  <dcterms:created xsi:type="dcterms:W3CDTF">2008-02-17T20:34:32Z</dcterms:created>
  <dcterms:modified xsi:type="dcterms:W3CDTF">2026-08-20T14:04:29Z</dcterms:modified>
</cp:coreProperties>
</file>