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D8173128-AD75-FF47-8CD6-1D45CE151EA3}" xr6:coauthVersionLast="47" xr6:coauthVersionMax="47" xr10:uidLastSave="{00000000-0000-0000-0000-000000000000}"/>
  <bookViews>
    <workbookView xWindow="32760" yWindow="32760" windowWidth="14480" windowHeight="7300" xr2:uid="{01FBA909-ED55-F440-BA5E-74BCE94D42D2}"/>
  </bookViews>
  <sheets>
    <sheet name="Sheet1" sheetId="1" r:id="rId1"/>
  </sheets>
  <definedNames>
    <definedName name="myRange">Sheet1!$A$1:$B$2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0" i="1" l="1"/>
  <c r="A73" i="1"/>
  <c r="A15" i="1"/>
  <c r="A13" i="1"/>
  <c r="A42" i="1"/>
  <c r="A77" i="1"/>
  <c r="A53" i="1"/>
  <c r="A54" i="1"/>
  <c r="A36" i="1"/>
  <c r="A78" i="1"/>
  <c r="J44" i="1" a="1"/>
  <c r="K44" i="1" s="1"/>
  <c r="J42" i="1" a="1"/>
  <c r="J42" i="1" s="1"/>
  <c r="J40" i="1"/>
  <c r="J38" i="1" a="1"/>
  <c r="J38" i="1" s="1"/>
  <c r="J34" i="1" a="1"/>
  <c r="K34" i="1" s="1"/>
  <c r="A76" i="1" s="1"/>
  <c r="A34" i="1"/>
  <c r="A52" i="1"/>
  <c r="A51" i="1"/>
  <c r="A41" i="1"/>
  <c r="A40" i="1"/>
  <c r="A39" i="1"/>
  <c r="A37" i="1"/>
  <c r="A75" i="1"/>
  <c r="A74" i="1"/>
  <c r="G34" i="1" a="1"/>
  <c r="G39" i="1" s="1"/>
  <c r="A33" i="1"/>
  <c r="A32" i="1"/>
  <c r="A31" i="1"/>
  <c r="A1" i="1"/>
  <c r="A12" i="1" s="1"/>
  <c r="A2" i="1"/>
  <c r="A3" i="1"/>
  <c r="A4" i="1"/>
  <c r="A5" i="1"/>
  <c r="A6" i="1"/>
  <c r="A7" i="1"/>
  <c r="A8" i="1"/>
  <c r="A9" i="1"/>
  <c r="A10" i="1"/>
  <c r="A11" i="1"/>
  <c r="A17" i="1"/>
  <c r="A18" i="1"/>
  <c r="A19" i="1"/>
  <c r="A20" i="1"/>
  <c r="A21" i="1"/>
  <c r="A22" i="1"/>
  <c r="A23" i="1"/>
  <c r="A24" i="1"/>
  <c r="A25" i="1"/>
  <c r="A26" i="1"/>
  <c r="A27" i="1"/>
  <c r="A29" i="1"/>
  <c r="A30" i="1"/>
  <c r="A59" i="1"/>
  <c r="A62" i="1"/>
  <c r="A63" i="1"/>
  <c r="A64" i="1"/>
  <c r="A65" i="1"/>
  <c r="A66" i="1"/>
  <c r="A69" i="1"/>
  <c r="A70" i="1"/>
  <c r="K36" i="1"/>
  <c r="L35" i="1"/>
  <c r="J35" i="1"/>
  <c r="K35" i="1"/>
  <c r="L34" i="1"/>
  <c r="A28" i="1"/>
  <c r="J44" i="1" l="1"/>
  <c r="G38" i="1"/>
  <c r="G35" i="1"/>
  <c r="K42" i="1"/>
  <c r="G41" i="1"/>
  <c r="A38" i="1"/>
  <c r="G36" i="1"/>
  <c r="G37" i="1"/>
  <c r="L38" i="1"/>
  <c r="J34" i="1"/>
  <c r="A35" i="1" s="1"/>
  <c r="G34" i="1"/>
  <c r="J36" i="1"/>
  <c r="A16" i="1"/>
  <c r="A14" i="1"/>
  <c r="K38" i="1"/>
  <c r="G40" i="1"/>
  <c r="L36" i="1"/>
  <c r="G43" i="1" l="1"/>
</calcChain>
</file>

<file path=xl/sharedStrings.xml><?xml version="1.0" encoding="utf-8"?>
<sst xmlns="http://schemas.openxmlformats.org/spreadsheetml/2006/main" count="70" uniqueCount="68">
  <si>
    <t>ROWS(1+ROUND(1,1))</t>
  </si>
  <si>
    <t>ROWS(1+ROUND(ROUND(PI(),2),ROWS(SIN(3))))</t>
  </si>
  <si>
    <t>1+ROUND(ROUND(PI(),2),ROWS(SIN(3)))</t>
  </si>
  <si>
    <t>AVERAGE(PI(),ROUND(TRUE(),PI()))</t>
  </si>
  <si>
    <t>MAX(MAX(PI()))</t>
  </si>
  <si>
    <t>ROUND(ROWS(ROUND(PI(),1+PI())),1+PI())+ROWS(ROWS(PI()+1))+1*ROUND(1,1)</t>
  </si>
  <si>
    <t>COLUMNS(PI())</t>
  </si>
  <si>
    <t>NPV(2,PI())</t>
  </si>
  <si>
    <t>STDEV(2,ROUND({1.0;2.0;3.0},1))</t>
  </si>
  <si>
    <t>INDEX(PI(),1)</t>
  </si>
  <si>
    <t>INDEX(MMULT({1.0,2.0;3.0,4.0},{5.0,6.0;7.0,8.0})+PI(),K5,K6)</t>
  </si>
  <si>
    <t>SUMIF(A1,PI())</t>
  </si>
  <si>
    <t>COLUMNS(SUMIF(A1,PI()))</t>
  </si>
  <si>
    <t>MDETERM(ABS(A1))</t>
  </si>
  <si>
    <t>TRANSPOSE(PI())</t>
  </si>
  <si>
    <t>TRANSPOSE(MMULT({1.0,2.0;3.0,4.0},{5.0,6.0;7.0,8.0}))</t>
  </si>
  <si>
    <t>SUM(MMULT({1.0},{1.0}))</t>
  </si>
  <si>
    <t>SUM(MMULT({1.0,2.0;3.0,4.0},{5.0,6.0;7.0,8.0}))</t>
  </si>
  <si>
    <t>INDEX(A1:B2,1,1)</t>
  </si>
  <si>
    <t>TRANSPOSE(INDEX(C1,1,1))</t>
  </si>
  <si>
    <t>ROWS(ROUND(INDEX(C1,1,ROUND(1,1)),PI()))</t>
  </si>
  <si>
    <t>ROUND(1,1)</t>
  </si>
  <si>
    <t>1+1</t>
  </si>
  <si>
    <t>COLUMNS(ROUND(A1,PI()+SIN(1)))</t>
  </si>
  <si>
    <t>COLUMNS(ROUND(INDEX(A1,1),PI()))</t>
  </si>
  <si>
    <t>OFFSET(A1,2,2)</t>
  </si>
  <si>
    <t>OFFSET(INDEX(A1:B2,2,2),2,2)</t>
  </si>
  <si>
    <t>IRR(PI(),0)</t>
  </si>
  <si>
    <t>COLUMNS(INDEX(A1:B2,2,2))</t>
  </si>
  <si>
    <t>Failing cases:</t>
  </si>
  <si>
    <t>These formulas involve constant arrays (which POI 3.1 does not parse yet)</t>
  </si>
  <si>
    <t>Something wierd going on with the TRANSPOSE function</t>
  </si>
  <si>
    <t>COUNT(AVERAGE(pi()),PI(),1+PI())</t>
  </si>
  <si>
    <t>MDETERM(MIN(PI()))</t>
  </si>
  <si>
    <t>MIN(PI())</t>
  </si>
  <si>
    <t>(1+IRR(SUMIF(D:D,ROW(INDIRECT(MIN(D:D)&amp;":"&amp;MAX(D:D))),E:E),0))^365-1</t>
  </si>
  <si>
    <t>Excel encodes PI() as 'array'.  Not sure what rule justifies this. POI encodes it as 'value' which Excel seems to tolerate</t>
  </si>
  <si>
    <t>MIRR(PI(),0.01,0.02)</t>
  </si>
  <si>
    <t>VLOOKUP(1,PI(),1)</t>
  </si>
  <si>
    <t>SUMPRODUCT(('Sheet1'!C3:C751=Sheet1!F22)*('Sheet1'!D3:D751=Sheet1!G22),'SHEET1'!AF3:AF751)</t>
  </si>
  <si>
    <t>COUNT(C1:C2)</t>
  </si>
  <si>
    <t>COUNT(C1*1)</t>
  </si>
  <si>
    <t>COUNT(ABS(FREQUENCY($A1:$A5,$A1:$A5)))</t>
  </si>
  <si>
    <t>a</t>
  </si>
  <si>
    <t>b</t>
  </si>
  <si>
    <t>c</t>
  </si>
  <si>
    <t>d</t>
  </si>
  <si>
    <t>AVERAGE(IF(FREQUENCY($E$32:$E$38,$E$32:$E$38)&gt;0,1,0))</t>
  </si>
  <si>
    <t>AVERAGE(IF((FREQUENCY($E$32:$E$38,$E$32:$E$38)-1)&gt;0,1))</t>
  </si>
  <si>
    <t>ABS(FREQUENCY($E$32:$E$38,$E$32:$E$38))</t>
  </si>
  <si>
    <t>AVERAGE(FREQUENCY($E$32:$E$38,$E$32:$E$38))</t>
  </si>
  <si>
    <t>ABS(FREQUENCY($E$32:$E$38,$E$32:$E$38)+1)</t>
  </si>
  <si>
    <t>MODE(ABS(FREQUENCY($E$32:$E$38,$E$32:$E$38)))</t>
  </si>
  <si>
    <t>AVERAGE(ABS(IF((FREQUENCY($E$32:$E$38,$E$32:$E$38)-1)&gt;0,1)))</t>
  </si>
  <si>
    <t>AVERAGE(ABS(IF((FREQUENCY($E$32:$E$38,$E$32:$E$38)-1)&gt;0,1)+FREQUENCY($E$32:$E$38,$E$32:$E$38)))</t>
  </si>
  <si>
    <t>MODE({2.0,3.0,4.0;6.0,5.0,4.0})</t>
  </si>
  <si>
    <t>IF(C41,D41,E41)</t>
  </si>
  <si>
    <t>COLUMNS(IF(C53,{3,4,5},{6,7}))</t>
  </si>
  <si>
    <t>COLUMNS(IF(C53,E49:F49,{5,6,7,8}))</t>
  </si>
  <si>
    <t>MMULT(I33:I34,J33:K33)</t>
  </si>
  <si>
    <t>COLUMNS(SIN({2,3,4}+1)+1)</t>
  </si>
  <si>
    <t>COLUMNS(IF(C13,SUMIF(C13,PI()),SIN(1)))</t>
  </si>
  <si>
    <t>COLUMNS(IF(SIN(0),SIN(1),SIN(2)))</t>
  </si>
  <si>
    <t>MID(1,1,1)</t>
  </si>
  <si>
    <t>INDEX(INDEX({1,2;3,4},{2,1},2),1,1)</t>
  </si>
  <si>
    <t>MMULT(IF($I$36,{2,3},{4,5}),IF($I$37,{6;7},SIN(8)))</t>
  </si>
  <si>
    <t>MMULT(IF(C35,I34:J34,K34:K36),IF(C35,K34:K35,I35:K35))</t>
  </si>
  <si>
    <t>SUM(VLOOKUP({"a","b","b"},C72:D75,2))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</si>
</sst>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3964-CF4F-F04E-81CB-B33377256DB8}">
  <sheetPr codeName="Sheet1"/>
  <dimension ref="A1:L80"/>
  <sheetViews>
    <sheetView tabSelected="1" topLeftCell="A34" workbookViewId="0">
      <selection activeCell="A42" sqref="A42"/>
    </sheetView>
  </sheetViews>
  <sheetFormatPr baseColWidth="10" defaultRowHeight="15" x14ac:dyDescent="0.2"/>
  <cols>
    <col min="1" max="1" width="12" bestFit="1" customWidth="1"/>
    <col min="2" max="2" width="73.5" customWidth="1"/>
    <col min="3" max="256" width="8.83203125" customWidth="1"/>
  </cols>
  <sheetData>
    <row r="1" spans="1:4" x14ac:dyDescent="0.2">
      <c r="A1">
        <f>ROWS(1+ROUND(1,1))</f>
        <v>1</v>
      </c>
      <c r="B1" t="s">
        <v>0</v>
      </c>
    </row>
    <row r="2" spans="1:4" x14ac:dyDescent="0.2">
      <c r="A2">
        <f>ROWS(1+ROUND(ROUND(PI(),2),ROWS(SIN(3))))</f>
        <v>1</v>
      </c>
      <c r="B2" t="s">
        <v>1</v>
      </c>
    </row>
    <row r="3" spans="1:4" x14ac:dyDescent="0.2">
      <c r="A3">
        <f>1+ROUND(ROUND(PI(),2),ROWS(SIN(3)))</f>
        <v>4.0999999999999996</v>
      </c>
      <c r="B3" t="s">
        <v>2</v>
      </c>
      <c r="C3">
        <v>55</v>
      </c>
    </row>
    <row r="4" spans="1:4" x14ac:dyDescent="0.2">
      <c r="A4">
        <f>AVERAGE(PI(),ROUND(TRUE(),PI()))</f>
        <v>2.0707963267948966</v>
      </c>
      <c r="B4" t="s">
        <v>3</v>
      </c>
      <c r="D4">
        <v>66</v>
      </c>
    </row>
    <row r="5" spans="1:4" x14ac:dyDescent="0.2">
      <c r="A5">
        <f>MAX(MAX(PI()))</f>
        <v>3.1415926535897931</v>
      </c>
      <c r="B5" t="s">
        <v>4</v>
      </c>
    </row>
    <row r="6" spans="1:4" x14ac:dyDescent="0.2">
      <c r="A6">
        <f>COUNT(AVERAGE(PI()),PI(),1+PI())</f>
        <v>3</v>
      </c>
      <c r="B6" t="s">
        <v>32</v>
      </c>
    </row>
    <row r="7" spans="1:4" x14ac:dyDescent="0.2">
      <c r="A7">
        <f>ROUND(ROWS(ROUND(PI(),1+PI())),1+PI())+ROWS(ROWS(PI()+1))+1*ROUND(1,1)</f>
        <v>3</v>
      </c>
      <c r="B7" t="s">
        <v>5</v>
      </c>
    </row>
    <row r="8" spans="1:4" x14ac:dyDescent="0.2">
      <c r="A8">
        <f>MIN(PI())</f>
        <v>3.1415926535897931</v>
      </c>
      <c r="B8" t="s">
        <v>34</v>
      </c>
    </row>
    <row r="9" spans="1:4" x14ac:dyDescent="0.2">
      <c r="A9">
        <f>MDETERM(MIN(PI()))</f>
        <v>3.1415926535897931</v>
      </c>
      <c r="B9" t="s">
        <v>33</v>
      </c>
    </row>
    <row r="10" spans="1:4" x14ac:dyDescent="0.2">
      <c r="A10">
        <f>COLUMNS(PI())</f>
        <v>1</v>
      </c>
      <c r="B10" t="s">
        <v>6</v>
      </c>
    </row>
    <row r="11" spans="1:4" x14ac:dyDescent="0.2">
      <c r="A11" s="1">
        <f>NPV(2,PI())</f>
        <v>1.0471975511965976</v>
      </c>
      <c r="B11" t="s">
        <v>7</v>
      </c>
    </row>
    <row r="12" spans="1:4" x14ac:dyDescent="0.2">
      <c r="A12">
        <f>SUMIF(A1,PI())</f>
        <v>0</v>
      </c>
      <c r="B12" t="s">
        <v>11</v>
      </c>
    </row>
    <row r="13" spans="1:4" x14ac:dyDescent="0.2">
      <c r="A13">
        <f>COLUMNS(IF(C13,SUMIF(C13,PI()),SIN(1)))</f>
        <v>1</v>
      </c>
      <c r="B13" s="5" t="s">
        <v>61</v>
      </c>
    </row>
    <row r="14" spans="1:4" x14ac:dyDescent="0.2">
      <c r="A14">
        <f>COLUMNS(SUMIF(A1,PI()))</f>
        <v>1</v>
      </c>
      <c r="B14" t="s">
        <v>12</v>
      </c>
    </row>
    <row r="15" spans="1:4" x14ac:dyDescent="0.2">
      <c r="A15">
        <f>COLUMNS(IF(SIN(0),SIN(1),SIN(2)))</f>
        <v>1</v>
      </c>
      <c r="B15" s="5" t="s">
        <v>62</v>
      </c>
    </row>
    <row r="16" spans="1:4" x14ac:dyDescent="0.2">
      <c r="A16">
        <f>MDETERM(ABS(A1))</f>
        <v>1</v>
      </c>
      <c r="B16" t="s">
        <v>13</v>
      </c>
    </row>
    <row r="17" spans="1:10" x14ac:dyDescent="0.2">
      <c r="A17">
        <f>ROWS(ROUND(INDEX(C1,1,ROUND(1,1)),PI()))</f>
        <v>1</v>
      </c>
      <c r="B17" t="s">
        <v>20</v>
      </c>
    </row>
    <row r="18" spans="1:10" x14ac:dyDescent="0.2">
      <c r="A18">
        <f>INDEX(A1:B2,1,1)</f>
        <v>1</v>
      </c>
      <c r="B18" t="s">
        <v>18</v>
      </c>
    </row>
    <row r="19" spans="1:10" x14ac:dyDescent="0.2">
      <c r="A19">
        <f>ROUND(1,1)</f>
        <v>1</v>
      </c>
      <c r="B19" t="s">
        <v>21</v>
      </c>
    </row>
    <row r="20" spans="1:10" x14ac:dyDescent="0.2">
      <c r="A20" t="str">
        <f>MID(1,1,1)</f>
        <v>1</v>
      </c>
      <c r="B20" s="5" t="s">
        <v>63</v>
      </c>
    </row>
    <row r="21" spans="1:10" x14ac:dyDescent="0.2">
      <c r="A21">
        <f>1+1</f>
        <v>2</v>
      </c>
      <c r="B21" t="s">
        <v>22</v>
      </c>
    </row>
    <row r="22" spans="1:10" x14ac:dyDescent="0.2">
      <c r="A22">
        <f>COLUMNS(ROUND(A1,PI()+SIN(1)))</f>
        <v>1</v>
      </c>
      <c r="B22" t="s">
        <v>23</v>
      </c>
    </row>
    <row r="23" spans="1:10" x14ac:dyDescent="0.2">
      <c r="A23">
        <f>COLUMNS(ROUND(INDEX(A1,PI()-2),PI()))</f>
        <v>1</v>
      </c>
      <c r="B23" t="s">
        <v>24</v>
      </c>
    </row>
    <row r="24" spans="1:10" x14ac:dyDescent="0.2">
      <c r="A24">
        <f ca="1">OFFSET(A1,2,2)</f>
        <v>55</v>
      </c>
      <c r="B24" t="s">
        <v>25</v>
      </c>
    </row>
    <row r="25" spans="1:10" x14ac:dyDescent="0.2">
      <c r="A25">
        <f ca="1">OFFSET(INDEX(A1:B2,2,2),2,2)</f>
        <v>66</v>
      </c>
      <c r="B25" t="s">
        <v>26</v>
      </c>
    </row>
    <row r="26" spans="1:10" x14ac:dyDescent="0.2">
      <c r="A26" s="2" t="e">
        <f>IRR(PI(),0)</f>
        <v>#NUM!</v>
      </c>
      <c r="B26" t="s">
        <v>27</v>
      </c>
    </row>
    <row r="27" spans="1:10" x14ac:dyDescent="0.2">
      <c r="A27" s="4">
        <f>COLUMNS(INDEX(A1:B2,2,2))</f>
        <v>1</v>
      </c>
      <c r="B27" t="s">
        <v>28</v>
      </c>
    </row>
    <row r="28" spans="1:10" x14ac:dyDescent="0.2">
      <c r="A28" t="e">
        <f ca="1">(1+IRR(SUMIF(D:D,ROW(INDIRECT(MIN(D:D)&amp;":"&amp;MAX(D:D))),E:E),0))^365-1</f>
        <v>#NUM!</v>
      </c>
      <c r="B28" t="s">
        <v>35</v>
      </c>
    </row>
    <row r="29" spans="1:10" x14ac:dyDescent="0.2">
      <c r="A29" s="2" t="e">
        <f>MIRR(PI(),0.01,0.02)</f>
        <v>#DIV/0!</v>
      </c>
      <c r="B29" t="s">
        <v>37</v>
      </c>
      <c r="I29">
        <v>2</v>
      </c>
      <c r="J29" t="s">
        <v>43</v>
      </c>
    </row>
    <row r="30" spans="1:10" x14ac:dyDescent="0.2">
      <c r="A30" t="e">
        <f>VLOOKUP(1,PI(),1)</f>
        <v>#N/A</v>
      </c>
      <c r="B30" t="s">
        <v>38</v>
      </c>
      <c r="I30">
        <v>3</v>
      </c>
      <c r="J30" t="s">
        <v>44</v>
      </c>
    </row>
    <row r="31" spans="1:10" x14ac:dyDescent="0.2">
      <c r="A31">
        <f>SUMPRODUCT((Sheet1!C3:C774=Sheet1!F24)*(Sheet1!D3:D774=Sheet1!G24),Sheet1!AF3:AF774)</f>
        <v>0</v>
      </c>
      <c r="B31" s="5" t="s">
        <v>39</v>
      </c>
    </row>
    <row r="32" spans="1:10" x14ac:dyDescent="0.2">
      <c r="A32">
        <f>COUNT(C1:C2)</f>
        <v>0</v>
      </c>
      <c r="B32" s="5" t="s">
        <v>40</v>
      </c>
    </row>
    <row r="33" spans="1:12" x14ac:dyDescent="0.2">
      <c r="A33">
        <f>COUNT(C1*1)</f>
        <v>1</v>
      </c>
      <c r="B33" s="5" t="s">
        <v>41</v>
      </c>
      <c r="I33">
        <v>3</v>
      </c>
    </row>
    <row r="34" spans="1:12" x14ac:dyDescent="0.2">
      <c r="A34">
        <f>MODE({2,3,4;6,5,4})</f>
        <v>4</v>
      </c>
      <c r="B34" s="5" t="s">
        <v>55</v>
      </c>
      <c r="E34">
        <v>2</v>
      </c>
      <c r="G34">
        <f t="array" ref="G34:G41">IF(FREQUENCY($E$34:$E$40,$E$34:$E$40)&gt;0,1,0)</f>
        <v>1</v>
      </c>
      <c r="I34">
        <v>4</v>
      </c>
      <c r="J34">
        <f t="array" ref="J34:L36">IF({TRUE,FALSE,FALSE;TRUE,TRUE,FALSE;FALSE,TRUE,FALSE},$I$33,{7,8,9,10})</f>
        <v>3</v>
      </c>
      <c r="K34">
        <v>8</v>
      </c>
      <c r="L34">
        <v>9</v>
      </c>
    </row>
    <row r="35" spans="1:12" x14ac:dyDescent="0.2">
      <c r="A35">
        <f>MMULT(I34:I35,J34:K34)</f>
        <v>12</v>
      </c>
      <c r="B35" s="5" t="s">
        <v>59</v>
      </c>
      <c r="E35">
        <v>2</v>
      </c>
      <c r="G35">
        <v>0</v>
      </c>
      <c r="I35">
        <v>5</v>
      </c>
      <c r="J35">
        <v>3</v>
      </c>
      <c r="K35">
        <v>3</v>
      </c>
      <c r="L35">
        <v>9</v>
      </c>
    </row>
    <row r="36" spans="1:12" x14ac:dyDescent="0.2">
      <c r="A36">
        <f>COLUMNS(SIN({2,3,4}+1)+1)</f>
        <v>3</v>
      </c>
      <c r="B36" s="5" t="s">
        <v>60</v>
      </c>
      <c r="E36">
        <v>2</v>
      </c>
      <c r="G36">
        <v>0</v>
      </c>
      <c r="I36">
        <v>0</v>
      </c>
      <c r="J36">
        <v>7</v>
      </c>
      <c r="K36">
        <v>3</v>
      </c>
      <c r="L36">
        <v>9</v>
      </c>
    </row>
    <row r="37" spans="1:12" x14ac:dyDescent="0.2">
      <c r="A37">
        <f>ABS(FREQUENCY($E$34:$E$40,$E$34:$E$40))</f>
        <v>4</v>
      </c>
      <c r="B37" s="5" t="s">
        <v>49</v>
      </c>
      <c r="E37">
        <v>2</v>
      </c>
      <c r="G37">
        <v>0</v>
      </c>
      <c r="I37">
        <v>1</v>
      </c>
    </row>
    <row r="38" spans="1:12" x14ac:dyDescent="0.2">
      <c r="A38">
        <f>AVERAGE(FREQUENCY($A1:$A5,$A1:$A5))</f>
        <v>0.83333333333333337</v>
      </c>
      <c r="B38" s="5" t="s">
        <v>50</v>
      </c>
      <c r="E38">
        <v>4</v>
      </c>
      <c r="G38">
        <v>1</v>
      </c>
      <c r="J38">
        <f t="array" ref="J38:L38">COUNTIF($I$34:$I$35,{3,4,5})</f>
        <v>0</v>
      </c>
      <c r="K38">
        <v>1</v>
      </c>
      <c r="L38">
        <v>1</v>
      </c>
    </row>
    <row r="39" spans="1:12" x14ac:dyDescent="0.2">
      <c r="A39">
        <f>COUNT(ABS(FREQUENCY($E$34:$E$40,$E$34:$E$40)))</f>
        <v>8</v>
      </c>
      <c r="B39" s="5" t="s">
        <v>42</v>
      </c>
      <c r="E39">
        <v>4</v>
      </c>
      <c r="G39">
        <v>0</v>
      </c>
    </row>
    <row r="40" spans="1:12" x14ac:dyDescent="0.2">
      <c r="A40">
        <f>MODE(ABS(FREQUENCY($E$34:$E$40,$E$34:$E$40)))</f>
        <v>0</v>
      </c>
      <c r="B40" s="5" t="s">
        <v>52</v>
      </c>
      <c r="E40">
        <v>4</v>
      </c>
      <c r="G40">
        <v>0</v>
      </c>
      <c r="J40">
        <f>MMULT(IF($I$36,{2,3},{4,5}),IF($I$37,{6;7},{8;9}))</f>
        <v>59</v>
      </c>
    </row>
    <row r="41" spans="1:12" x14ac:dyDescent="0.2">
      <c r="A41">
        <f>ABS(FREQUENCY($E$34:$E$40,$E$34:$E$40)+1)</f>
        <v>5</v>
      </c>
      <c r="B41" s="5" t="s">
        <v>51</v>
      </c>
      <c r="G41">
        <v>0</v>
      </c>
    </row>
    <row r="42" spans="1:12" x14ac:dyDescent="0.2">
      <c r="A42">
        <f>IF(C42,D42,E42)</f>
        <v>0</v>
      </c>
      <c r="B42" s="5" t="s">
        <v>56</v>
      </c>
      <c r="J42" t="str">
        <f t="array" ref="J42:K42">VLOOKUP({2,3},$I$29:$J$31,2)</f>
        <v>a</v>
      </c>
      <c r="K42" t="str">
        <v>b</v>
      </c>
    </row>
    <row r="43" spans="1:12" x14ac:dyDescent="0.2">
      <c r="G43">
        <f>AVERAGE(G34:G41)</f>
        <v>0.25</v>
      </c>
    </row>
    <row r="44" spans="1:12" x14ac:dyDescent="0.2">
      <c r="J44">
        <f t="array" ref="J44:K44">INDEX({1,2;3,4},{2,1},2)</f>
        <v>4</v>
      </c>
      <c r="K44">
        <v>2</v>
      </c>
    </row>
    <row r="48" spans="1:12" x14ac:dyDescent="0.2">
      <c r="A48" s="3" t="s">
        <v>29</v>
      </c>
    </row>
    <row r="51" spans="1:3" x14ac:dyDescent="0.2">
      <c r="A51">
        <f>AVERAGE(ABS(IF((FREQUENCY($E$34:$E$40,$E$34:$E$40)-1)&gt;0,1)))</f>
        <v>1</v>
      </c>
      <c r="B51" s="5" t="s">
        <v>53</v>
      </c>
    </row>
    <row r="52" spans="1:3" x14ac:dyDescent="0.2">
      <c r="A52">
        <f>AVERAGE(ABS(IF((FREQUENCY($E$34:$E$40,$E$34:$E$40)-1)&gt;0,1)+FREQUENCY($E$34:$E$40,$E$34:$E$40)))</f>
        <v>1.875</v>
      </c>
      <c r="B52" s="5" t="s">
        <v>54</v>
      </c>
    </row>
    <row r="53" spans="1:3" x14ac:dyDescent="0.2">
      <c r="A53">
        <f>COLUMNS(IF(C54,E50:F50,{5,6,7,8}))</f>
        <v>2</v>
      </c>
      <c r="B53" s="5" t="s">
        <v>58</v>
      </c>
    </row>
    <row r="54" spans="1:3" x14ac:dyDescent="0.2">
      <c r="A54">
        <f>COLUMNS(IF(C54,{3,4,5},{6,7}))</f>
        <v>3</v>
      </c>
      <c r="B54" s="5" t="s">
        <v>57</v>
      </c>
      <c r="C54">
        <v>1</v>
      </c>
    </row>
    <row r="55" spans="1:3" x14ac:dyDescent="0.2">
      <c r="B55" s="5"/>
    </row>
    <row r="58" spans="1:3" x14ac:dyDescent="0.2">
      <c r="A58" t="s">
        <v>36</v>
      </c>
    </row>
    <row r="59" spans="1:3" x14ac:dyDescent="0.2">
      <c r="A59">
        <f>INDEX(PI(),1)</f>
        <v>3.1415926535897931</v>
      </c>
      <c r="B59" t="s">
        <v>9</v>
      </c>
    </row>
    <row r="61" spans="1:3" x14ac:dyDescent="0.2">
      <c r="A61" t="s">
        <v>30</v>
      </c>
    </row>
    <row r="62" spans="1:3" x14ac:dyDescent="0.2">
      <c r="A62">
        <f>STDEV(2, ROUND({1,2,3},1))</f>
        <v>0.81649658092772603</v>
      </c>
      <c r="B62" t="s">
        <v>8</v>
      </c>
    </row>
    <row r="63" spans="1:3" x14ac:dyDescent="0.2">
      <c r="A63">
        <f>INDEX(MMULT({1,2;3,4},{5,6;7,8}) +PI(), E5, E6)</f>
        <v>22.141592653589793</v>
      </c>
      <c r="B63" t="s">
        <v>10</v>
      </c>
    </row>
    <row r="64" spans="1:3" x14ac:dyDescent="0.2">
      <c r="A64">
        <f>TRANSPOSE(MMULT({1,2;3,4},{5,6;7,8}))</f>
        <v>19</v>
      </c>
      <c r="B64" t="s">
        <v>15</v>
      </c>
    </row>
    <row r="65" spans="1:4" x14ac:dyDescent="0.2">
      <c r="A65">
        <f>SUM(MMULT({1}, {1}))</f>
        <v>1</v>
      </c>
      <c r="B65" t="s">
        <v>16</v>
      </c>
    </row>
    <row r="66" spans="1:4" x14ac:dyDescent="0.2">
      <c r="A66">
        <f>SUM(MMULT({1,2;3,4},{5,6;7,8}))</f>
        <v>134</v>
      </c>
      <c r="B66" t="s">
        <v>17</v>
      </c>
    </row>
    <row r="68" spans="1:4" x14ac:dyDescent="0.2">
      <c r="A68" t="s">
        <v>31</v>
      </c>
    </row>
    <row r="69" spans="1:4" x14ac:dyDescent="0.2">
      <c r="A69">
        <f>TRANSPOSE(INDEX(C1,1,1))</f>
        <v>0</v>
      </c>
      <c r="B69" t="s">
        <v>19</v>
      </c>
    </row>
    <row r="70" spans="1:4" x14ac:dyDescent="0.2">
      <c r="A70">
        <f>TRANSPOSE(PI())</f>
        <v>3.1415926535897931</v>
      </c>
      <c r="B70" t="s">
        <v>14</v>
      </c>
    </row>
    <row r="72" spans="1:4" x14ac:dyDescent="0.2">
      <c r="B72" s="5" t="s">
        <v>67</v>
      </c>
      <c r="C72" t="s">
        <v>43</v>
      </c>
      <c r="D72">
        <v>5</v>
      </c>
    </row>
    <row r="73" spans="1:4" x14ac:dyDescent="0.2">
      <c r="A73" t="e">
        <f>MODE(VLOOKUP({"a","b","b"},C72:D75,2))</f>
        <v>#N/A</v>
      </c>
      <c r="C73" t="s">
        <v>44</v>
      </c>
      <c r="D73">
        <v>4</v>
      </c>
    </row>
    <row r="74" spans="1:4" x14ac:dyDescent="0.2">
      <c r="A74">
        <f>AVERAGE(IF(FREQUENCY($E$34:$E$40,$E$34:$E$40)&gt;0,1,0))</f>
        <v>0.25</v>
      </c>
      <c r="B74" s="5" t="s">
        <v>47</v>
      </c>
      <c r="C74" t="s">
        <v>45</v>
      </c>
      <c r="D74">
        <v>2</v>
      </c>
    </row>
    <row r="75" spans="1:4" x14ac:dyDescent="0.2">
      <c r="A75">
        <f>AVERAGE(IF((FREQUENCY($E$34:$E$40,$E$34:$E$40)-1)&gt;0,1))</f>
        <v>1</v>
      </c>
      <c r="B75" s="5" t="s">
        <v>48</v>
      </c>
      <c r="C75" t="s">
        <v>46</v>
      </c>
      <c r="D75">
        <v>1</v>
      </c>
    </row>
    <row r="76" spans="1:4" x14ac:dyDescent="0.2">
      <c r="A76">
        <f>MMULT(IF(C35,I34:J34,K34:K36),IF(C35,K34:K35,I35:K35))</f>
        <v>40</v>
      </c>
      <c r="B76" s="5" t="s">
        <v>66</v>
      </c>
    </row>
    <row r="77" spans="1:4" x14ac:dyDescent="0.2">
      <c r="A77">
        <f>MMULT(IF($I$36,{2,3},{4,5}),IF($I$37,{6;7},SIN(8)))</f>
        <v>59</v>
      </c>
      <c r="B77" s="5" t="s">
        <v>65</v>
      </c>
    </row>
    <row r="78" spans="1:4" x14ac:dyDescent="0.2">
      <c r="A78">
        <f>INDEX(INDEX({1,2;3,4},{2,1},2),1,1)</f>
        <v>4</v>
      </c>
      <c r="B78" s="5" t="s">
        <v>64</v>
      </c>
    </row>
    <row r="80" spans="1:4" x14ac:dyDescent="0.2">
      <c r="A80">
        <f>SUM(IF(FREQUENCY($E$34:$E$40,$E$34:$E$40)&gt;0,1,0))</f>
        <v>2</v>
      </c>
    </row>
  </sheetData>
  <sheetCalcPr fullCalcOnLoad="1"/>
  <pageMargins left="0.7" right="0.7" top="0.75" bottom="0.75" header="0.3" footer="0.3"/>
  <pageSetup orientation="portrait" horizontalDpi="200" verticalDpi="20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myRange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2008-05-22T04:10:28Z</dcterms:created>
  <dcterms:modified xsi:type="dcterms:W3CDTF">2026-08-20T14:08:31Z</dcterms:modified>
</cp:coreProperties>
</file>