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FB241037-67F5-034F-8788-80F0507897E9}" xr6:coauthVersionLast="47" xr6:coauthVersionMax="47" xr10:uidLastSave="{00000000-0000-0000-0000-000000000000}"/>
  <bookViews>
    <workbookView xWindow="8300" yWindow="600" windowWidth="22820" windowHeight="12200" activeTab="1" xr2:uid="{75EAB27B-D3DE-D94C-B639-499ED3F6447C}"/>
  </bookViews>
  <sheets>
    <sheet name="Read Me" sheetId="3" r:id="rId1"/>
    <sheet name="DateTime" sheetId="2" r:id="rId2"/>
  </sheets>
  <definedNames>
    <definedName name="numberArea">DateTime!$J$147:$M$149</definedName>
    <definedName name="oneByOne">DateTime!$L$29</definedName>
    <definedName name="singleColumn">DateTime!$K$23:$K$33</definedName>
    <definedName name="singleRow">DateTime!$J$24:$N$24</definedName>
    <definedName name="threeByThree">DateTime!$K$24:$M$32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2" l="1"/>
  <c r="B21" i="2" s="1"/>
  <c r="F20" i="2"/>
  <c r="B20" i="2" s="1"/>
  <c r="F19" i="2"/>
  <c r="B19" i="2" s="1"/>
  <c r="F18" i="2"/>
  <c r="B18" i="2" s="1"/>
  <c r="F17" i="2"/>
  <c r="B17" i="2" s="1"/>
  <c r="F16" i="2"/>
  <c r="B16" i="2" s="1"/>
  <c r="F15" i="2"/>
  <c r="B15" i="2" s="1"/>
  <c r="F11" i="2"/>
  <c r="F10" i="2"/>
  <c r="B10" i="2"/>
  <c r="F9" i="2"/>
  <c r="B9" i="2" s="1"/>
  <c r="F8" i="2"/>
  <c r="F7" i="2"/>
  <c r="B7" i="2" s="1"/>
  <c r="F6" i="2"/>
  <c r="B6" i="2"/>
  <c r="F5" i="2"/>
  <c r="B5" i="2" s="1"/>
  <c r="B11" i="2"/>
  <c r="B8" i="2"/>
  <c r="F12" i="2" l="1"/>
  <c r="B12" i="2" s="1"/>
</calcChain>
</file>

<file path=xl/sharedStrings.xml><?xml version="1.0" encoding="utf-8"?>
<sst xmlns="http://schemas.openxmlformats.org/spreadsheetml/2006/main" count="17" uniqueCount="17">
  <si>
    <t>Name of the main junit test class which uses this spreadsheet:</t>
  </si>
  <si>
    <t>(The content of cell 'Read Me'!A3 is confirmed by the test)</t>
  </si>
  <si>
    <t>Every sheet besides this first one contains formula evaluation test cases in a standardised format.</t>
  </si>
  <si>
    <t>On row 4 of each sheet, in columns B,C,D there are the column headings "Formula", "Expected Result" and "Comment"</t>
  </si>
  <si>
    <t xml:space="preserve">The test iterates down from row 5 onward  until a the text "&lt;end&gt;" is found in column A.   Rows with "&lt;skip&gt;" in column A are ignored (useful for currently unsupported behaviour).  Otherwise column A can be used for commenting the group of rows below. </t>
  </si>
  <si>
    <t>If the evaluated result of column B does not match the expected result in column C, the junit test will report a failure.  Test failures get annotated with the section and row comments, if any.</t>
  </si>
  <si>
    <t>Besides the first 4 columns, row 5 onwards, the junit test does not inspect any other cells in the sheet.  The other cells can be used freely to set up test data.</t>
  </si>
  <si>
    <t>Care should be taken to not only make the values in column C match those in column B, but also to make sure column C contains only simple literal values.  This can be achieved easily by 'pasting special' from column B to C, selecting the 'as values' option.</t>
  </si>
  <si>
    <t>&lt;end&gt;</t>
  </si>
  <si>
    <t>Formula</t>
  </si>
  <si>
    <t>Expected Result</t>
  </si>
  <si>
    <t>Comment</t>
  </si>
  <si>
    <t>Sheet Comment:</t>
  </si>
  <si>
    <t>This spreadsheet contains various test cases for convertation of datetime string to number</t>
  </si>
  <si>
    <t>org.apache.poi.ss.formula.functions.TestDateTimeToNumberFromSpreadsheet</t>
  </si>
  <si>
    <t>Precision</t>
  </si>
  <si>
    <t>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</si>
</sst>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2" fillId="0" borderId="0" xfId="0" applyFont="1"/>
    <xf numFmtId="49" fontId="0" fillId="0" borderId="0" xfId="0" applyNumberFormat="1"/>
    <xf numFmtId="0" fontId="1" fillId="0" borderId="0" xfId="0" applyFont="1"/>
    <xf numFmtId="0" fontId="0" fillId="0" borderId="0" xfId="0" applyFont="1"/>
    <xf numFmtId="19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16CC-0C92-DA4F-A409-6E3B58EA2BCA}">
  <dimension ref="A1:A12"/>
  <sheetViews>
    <sheetView workbookViewId="0">
      <selection activeCell="A13" sqref="A13"/>
    </sheetView>
  </sheetViews>
  <sheetFormatPr baseColWidth="10" defaultRowHeight="15" x14ac:dyDescent="0.2"/>
  <cols>
    <col min="1" max="1" width="108.5" bestFit="1" customWidth="1"/>
    <col min="2" max="256" width="8.83203125" customWidth="1"/>
  </cols>
  <sheetData>
    <row r="1" spans="1:1" x14ac:dyDescent="0.2">
      <c r="A1" t="s">
        <v>13</v>
      </c>
    </row>
    <row r="2" spans="1:1" x14ac:dyDescent="0.2">
      <c r="A2" t="s">
        <v>0</v>
      </c>
    </row>
    <row r="3" spans="1:1" x14ac:dyDescent="0.2">
      <c r="A3" t="s">
        <v>14</v>
      </c>
    </row>
    <row r="4" spans="1:1" x14ac:dyDescent="0.2">
      <c r="A4" t="s">
        <v>1</v>
      </c>
    </row>
    <row r="6" spans="1:1" x14ac:dyDescent="0.2">
      <c r="A6" t="s">
        <v>2</v>
      </c>
    </row>
    <row r="7" spans="1:1" x14ac:dyDescent="0.2">
      <c r="A7" t="s">
        <v>3</v>
      </c>
    </row>
    <row r="8" spans="1:1" ht="32" x14ac:dyDescent="0.2">
      <c r="A8" s="2" t="s">
        <v>4</v>
      </c>
    </row>
    <row r="9" spans="1:1" ht="32" x14ac:dyDescent="0.2">
      <c r="A9" s="3" t="s">
        <v>5</v>
      </c>
    </row>
    <row r="10" spans="1:1" ht="32" x14ac:dyDescent="0.2">
      <c r="A10" s="2" t="s">
        <v>6</v>
      </c>
    </row>
    <row r="11" spans="1:1" ht="32" x14ac:dyDescent="0.2">
      <c r="A11" s="2" t="s">
        <v>7</v>
      </c>
    </row>
    <row r="12" spans="1:1" x14ac:dyDescent="0.2">
      <c r="A1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0E53-C934-7A4C-89C9-42AA5BE5692C}">
  <dimension ref="A1:F56"/>
  <sheetViews>
    <sheetView tabSelected="1" workbookViewId="0">
      <selection activeCell="E22" sqref="E22"/>
    </sheetView>
  </sheetViews>
  <sheetFormatPr baseColWidth="10" defaultRowHeight="15" x14ac:dyDescent="0.2"/>
  <cols>
    <col min="1" max="1" width="6.5" bestFit="1" customWidth="1"/>
    <col min="2" max="2" width="16" bestFit="1" customWidth="1"/>
    <col min="3" max="3" width="49.5" bestFit="1" customWidth="1"/>
    <col min="4" max="4" width="25.33203125" customWidth="1"/>
    <col min="5" max="5" width="16.6640625" customWidth="1"/>
    <col min="6" max="6" width="13.6640625" customWidth="1"/>
    <col min="7" max="7" width="16.6640625" customWidth="1"/>
    <col min="8" max="8" width="8.83203125" customWidth="1"/>
    <col min="9" max="9" width="2.1640625" bestFit="1" customWidth="1"/>
    <col min="10" max="13" width="4" bestFit="1" customWidth="1"/>
    <col min="14" max="14" width="2.1640625" bestFit="1" customWidth="1"/>
    <col min="15" max="256" width="8.83203125" customWidth="1"/>
  </cols>
  <sheetData>
    <row r="1" spans="2:6" x14ac:dyDescent="0.2">
      <c r="B1" s="4" t="s">
        <v>12</v>
      </c>
    </row>
    <row r="3" spans="2:6" x14ac:dyDescent="0.2">
      <c r="B3" s="4" t="s">
        <v>9</v>
      </c>
      <c r="C3" s="4" t="s">
        <v>10</v>
      </c>
      <c r="D3" s="4" t="s">
        <v>11</v>
      </c>
      <c r="E3" s="4" t="s">
        <v>15</v>
      </c>
      <c r="F3" s="4" t="s">
        <v>16</v>
      </c>
    </row>
    <row r="4" spans="2:6" x14ac:dyDescent="0.2">
      <c r="E4" s="5"/>
      <c r="F4" s="8">
        <v>0.6549652777777778</v>
      </c>
    </row>
    <row r="5" spans="2:6" x14ac:dyDescent="0.2">
      <c r="B5">
        <f t="shared" ref="B5:B12" si="0">F5+0</f>
        <v>0.6549652777777778</v>
      </c>
      <c r="C5" s="10">
        <v>0.65496527800000004</v>
      </c>
      <c r="E5" s="10">
        <v>9.9999999999999995E-7</v>
      </c>
      <c r="F5" t="str">
        <f>TEXT(F4, "hh:mm:ss")</f>
        <v>15:43:09</v>
      </c>
    </row>
    <row r="6" spans="2:6" x14ac:dyDescent="0.2">
      <c r="B6">
        <f t="shared" si="0"/>
        <v>0.65486111111111112</v>
      </c>
      <c r="C6">
        <v>0.654861111</v>
      </c>
      <c r="E6" s="10">
        <v>9.9999999999999995E-7</v>
      </c>
      <c r="F6" t="str">
        <f>TEXT(F4, "hh:mm")</f>
        <v>15:43</v>
      </c>
    </row>
    <row r="7" spans="2:6" x14ac:dyDescent="0.2">
      <c r="B7">
        <f t="shared" si="0"/>
        <v>15</v>
      </c>
      <c r="C7">
        <v>15</v>
      </c>
      <c r="E7" s="10">
        <v>9.9999999999999995E-7</v>
      </c>
      <c r="F7" t="str">
        <f>TEXT(F4, "hh")</f>
        <v>15</v>
      </c>
    </row>
    <row r="8" spans="2:6" x14ac:dyDescent="0.2">
      <c r="B8" t="e">
        <f t="shared" si="0"/>
        <v>#VALUE!</v>
      </c>
      <c r="C8">
        <v>15.43</v>
      </c>
      <c r="E8" s="10">
        <v>9.9999999999999995E-7</v>
      </c>
      <c r="F8" t="str">
        <f>TEXT(F4, "hh.mm")</f>
        <v>15.43</v>
      </c>
    </row>
    <row r="9" spans="2:6" x14ac:dyDescent="0.2">
      <c r="B9" t="e">
        <f t="shared" si="0"/>
        <v>#VALUE!</v>
      </c>
      <c r="C9" t="e">
        <v>#VALUE!</v>
      </c>
      <c r="E9" s="10">
        <v>9.9999999999999995E-7</v>
      </c>
      <c r="F9" t="str">
        <f>TEXT(F4, "hh.mm.ss")</f>
        <v>15.43.09</v>
      </c>
    </row>
    <row r="10" spans="2:6" x14ac:dyDescent="0.2">
      <c r="B10" t="e">
        <f t="shared" si="0"/>
        <v>#VALUE!</v>
      </c>
      <c r="C10" t="e">
        <v>#VALUE!</v>
      </c>
      <c r="E10" s="10">
        <v>9.9999999999999995E-7</v>
      </c>
      <c r="F10" t="str">
        <f>TEXT(F4, "hh-mm")</f>
        <v>15-43</v>
      </c>
    </row>
    <row r="11" spans="2:6" x14ac:dyDescent="0.2">
      <c r="B11">
        <f t="shared" si="0"/>
        <v>0.65486111111111112</v>
      </c>
      <c r="C11">
        <v>0.654861111</v>
      </c>
      <c r="E11" s="10">
        <v>9.9999999999999995E-7</v>
      </c>
      <c r="F11" s="9" t="str">
        <f>TEXT(F4,"H:MM AM/PM")</f>
        <v>3:43 PM</v>
      </c>
    </row>
    <row r="12" spans="2:6" x14ac:dyDescent="0.2">
      <c r="B12">
        <f t="shared" si="0"/>
        <v>0.6549652777777778</v>
      </c>
      <c r="C12" s="10">
        <v>0.65496527800000004</v>
      </c>
      <c r="E12" s="10">
        <v>9.9999999999999995E-7</v>
      </c>
      <c r="F12" s="9" t="str">
        <f>TEXT(F5,"H:MM:ss AM/PM")</f>
        <v>3:43:09 PM</v>
      </c>
    </row>
    <row r="13" spans="2:6" x14ac:dyDescent="0.2">
      <c r="E13" s="5"/>
    </row>
    <row r="14" spans="2:6" x14ac:dyDescent="0.2">
      <c r="E14" s="5"/>
      <c r="F14" s="9">
        <v>43483</v>
      </c>
    </row>
    <row r="15" spans="2:6" x14ac:dyDescent="0.2">
      <c r="B15" t="e">
        <f t="shared" ref="B15:B21" si="1">F15+0</f>
        <v>#VALUE!</v>
      </c>
      <c r="C15" s="10">
        <v>2019</v>
      </c>
      <c r="E15" s="10">
        <v>9.9999999999999995E-7</v>
      </c>
      <c r="F15" t="str">
        <f>TEXT(F14,"yyyy")</f>
        <v>yyyy</v>
      </c>
    </row>
    <row r="16" spans="2:6" x14ac:dyDescent="0.2">
      <c r="B16" t="e">
        <f t="shared" si="1"/>
        <v>#VALUE!</v>
      </c>
      <c r="C16" s="10">
        <v>2019.01</v>
      </c>
      <c r="E16" s="10">
        <v>9.9999999999999995E-7</v>
      </c>
      <c r="F16" t="str">
        <f>TEXT(F14,"yyyy.mm")</f>
        <v>yyyy.00</v>
      </c>
    </row>
    <row r="17" spans="2:6" x14ac:dyDescent="0.2">
      <c r="B17" t="e">
        <f t="shared" si="1"/>
        <v>#VALUE!</v>
      </c>
      <c r="C17" s="10" t="e">
        <v>#VALUE!</v>
      </c>
      <c r="E17" s="10">
        <v>9.9999999999999995E-7</v>
      </c>
      <c r="F17" t="e">
        <f>TEXT(F14,"yyyy/mm")</f>
        <v>#VALUE!</v>
      </c>
    </row>
    <row r="18" spans="2:6" x14ac:dyDescent="0.2">
      <c r="B18" t="e">
        <f t="shared" si="1"/>
        <v>#VALUE!</v>
      </c>
      <c r="C18" s="10" t="e">
        <v>#VALUE!</v>
      </c>
      <c r="E18" s="10">
        <v>9.9999999999999995E-7</v>
      </c>
      <c r="F18" t="e">
        <f>TEXT(F14,"dd/mm/yyyy")</f>
        <v>#VALUE!</v>
      </c>
    </row>
    <row r="19" spans="2:6" x14ac:dyDescent="0.2">
      <c r="B19" t="e">
        <f t="shared" si="1"/>
        <v>#VALUE!</v>
      </c>
      <c r="C19" s="10">
        <v>43483</v>
      </c>
      <c r="E19" s="10">
        <v>9.9999999999999995E-7</v>
      </c>
      <c r="F19" t="str">
        <f>TEXT(F14,"mm/dd/yyyy")</f>
        <v>00/dd/yyyy</v>
      </c>
    </row>
    <row r="20" spans="2:6" x14ac:dyDescent="0.2">
      <c r="B20" t="e">
        <f t="shared" si="1"/>
        <v>#VALUE!</v>
      </c>
      <c r="C20" s="10">
        <v>43483</v>
      </c>
      <c r="E20" s="10">
        <v>9.9999999999999995E-7</v>
      </c>
      <c r="F20" t="str">
        <f>TEXT(F14,"dd-mmm-yyyy")</f>
        <v>dd-00-yyyy</v>
      </c>
    </row>
    <row r="21" spans="2:6" x14ac:dyDescent="0.2">
      <c r="B21" t="e">
        <f t="shared" si="1"/>
        <v>#VALUE!</v>
      </c>
      <c r="C21" s="10">
        <v>43483</v>
      </c>
      <c r="E21" s="10">
        <v>9.9999999999999995E-7</v>
      </c>
      <c r="F21" t="str">
        <f>TEXT(F14,"dd mmm yyyy")</f>
        <v>dd 00 yyyy</v>
      </c>
    </row>
    <row r="22" spans="2:6" x14ac:dyDescent="0.2">
      <c r="E22" s="10"/>
    </row>
    <row r="23" spans="2:6" x14ac:dyDescent="0.2">
      <c r="C23" s="5"/>
    </row>
    <row r="24" spans="2:6" x14ac:dyDescent="0.2">
      <c r="C24" s="5"/>
    </row>
    <row r="25" spans="2:6" x14ac:dyDescent="0.2">
      <c r="C25" s="5"/>
    </row>
    <row r="26" spans="2:6" x14ac:dyDescent="0.2">
      <c r="C26" s="5"/>
    </row>
    <row r="27" spans="2:6" x14ac:dyDescent="0.2">
      <c r="C27" s="5"/>
    </row>
    <row r="28" spans="2:6" x14ac:dyDescent="0.2">
      <c r="C28" s="5"/>
    </row>
    <row r="29" spans="2:6" x14ac:dyDescent="0.2">
      <c r="C29" s="5"/>
    </row>
    <row r="30" spans="2:6" x14ac:dyDescent="0.2">
      <c r="C30" s="5"/>
    </row>
    <row r="31" spans="2:6" x14ac:dyDescent="0.2">
      <c r="C31" s="5"/>
    </row>
    <row r="33" spans="1:6" x14ac:dyDescent="0.2">
      <c r="A33" t="s">
        <v>8</v>
      </c>
      <c r="C33" s="5"/>
    </row>
    <row r="34" spans="1:6" x14ac:dyDescent="0.2">
      <c r="C34" s="5"/>
      <c r="F34" s="6"/>
    </row>
    <row r="35" spans="1:6" x14ac:dyDescent="0.2">
      <c r="C35" s="5"/>
      <c r="F35" s="7"/>
    </row>
    <row r="56" spans="5:5" x14ac:dyDescent="0.2">
      <c r="E56" s="1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5</vt:i4>
      </vt:variant>
    </vt:vector>
  </HeadingPairs>
  <TitlesOfParts>
    <vt:vector size="7" baseType="lpstr">
      <vt:lpstr>Read Me</vt:lpstr>
      <vt:lpstr>DateTime</vt:lpstr>
      <vt:lpstr>numberArea</vt:lpstr>
      <vt:lpstr>oneByOne</vt:lpstr>
      <vt:lpstr>singleColumn</vt:lpstr>
      <vt:lpstr>singleRow</vt:lpstr>
      <vt:lpstr>threeByThree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Dietmar Rietsch</cp:lastModifiedBy>
  <dcterms:created xsi:type="dcterms:W3CDTF">2008-02-17T20:34:32Z</dcterms:created>
  <dcterms:modified xsi:type="dcterms:W3CDTF">2026-08-20T14:04:11Z</dcterms:modified>
</cp:coreProperties>
</file>