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5218B804-773B-BF41-B32B-061464F0CB70}" xr6:coauthVersionLast="47" xr6:coauthVersionMax="47" xr10:uidLastSave="{00000000-0000-0000-0000-000000000000}"/>
  <bookViews>
    <workbookView xWindow="32760" yWindow="32760" windowWidth="11480" windowHeight="8600" activeTab="1" xr2:uid="{63860EEB-0C55-A94C-943F-D8EEEF20B753}"/>
  </bookViews>
  <sheets>
    <sheet name="Read Me" sheetId="2" r:id="rId1"/>
    <sheet name="Trend" sheetId="1" r:id="rId2"/>
  </sheets>
  <definedNames>
    <definedName name="testArea">Trend!$F$2:$F$10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" l="1"/>
  <c r="B26" i="1"/>
  <c r="B23" i="1"/>
  <c r="B25" i="1"/>
  <c r="B24" i="1"/>
  <c r="P26" i="1" a="1"/>
  <c r="P32" i="1" s="1"/>
  <c r="P27" i="1"/>
  <c r="P29" i="1"/>
  <c r="P31" i="1"/>
  <c r="P33" i="1"/>
  <c r="O26" i="1" a="1"/>
  <c r="O29" i="1" s="1"/>
  <c r="N26" i="1" a="1"/>
  <c r="N36" i="1" s="1"/>
  <c r="N26" i="1"/>
  <c r="N27" i="1"/>
  <c r="N28" i="1"/>
  <c r="N29" i="1"/>
  <c r="N30" i="1"/>
  <c r="N31" i="1"/>
  <c r="N32" i="1"/>
  <c r="N33" i="1"/>
  <c r="N34" i="1"/>
  <c r="N35" i="1"/>
  <c r="N42" i="1"/>
  <c r="N43" i="1"/>
  <c r="N44" i="1"/>
  <c r="N45" i="1"/>
  <c r="M26" i="1"/>
  <c r="L10" i="1"/>
  <c r="K3" i="1"/>
  <c r="L4" i="1" a="1"/>
  <c r="L7" i="1" s="1"/>
  <c r="L4" i="1"/>
  <c r="J4" i="1" a="1"/>
  <c r="J4" i="1" s="1"/>
  <c r="B19" i="1"/>
  <c r="I48" i="1" a="1"/>
  <c r="I52" i="1" s="1"/>
  <c r="B100" i="1" s="1"/>
  <c r="I48" i="1"/>
  <c r="B96" i="1"/>
  <c r="I55" i="1" a="1"/>
  <c r="I55" i="1"/>
  <c r="B102" i="1"/>
  <c r="K11" i="1"/>
  <c r="O17" i="1" a="1"/>
  <c r="O18" i="1" s="1"/>
  <c r="Q22" i="1"/>
  <c r="N17" i="1" a="1"/>
  <c r="N17" i="1" s="1"/>
  <c r="M17" i="1" a="1"/>
  <c r="M17" i="1"/>
  <c r="M18" i="1"/>
  <c r="M19" i="1"/>
  <c r="M20" i="1"/>
  <c r="M21" i="1"/>
  <c r="M22" i="1"/>
  <c r="K10" i="1"/>
  <c r="J10" i="1"/>
  <c r="J9" i="1"/>
  <c r="I11" i="1"/>
  <c r="J11" i="1"/>
  <c r="B83" i="1"/>
  <c r="B82" i="1"/>
  <c r="B21" i="1"/>
  <c r="B17" i="1"/>
  <c r="B16" i="1"/>
  <c r="B15" i="1"/>
  <c r="B14" i="1"/>
  <c r="B13" i="1"/>
  <c r="B12" i="1"/>
  <c r="B11" i="1"/>
  <c r="B9" i="1"/>
  <c r="B7" i="1"/>
  <c r="B20" i="1"/>
  <c r="I26" i="1" a="1"/>
  <c r="K26" i="1" s="1"/>
  <c r="I26" i="1"/>
  <c r="I21" i="1" a="1"/>
  <c r="L21" i="1" s="1"/>
  <c r="I16" i="1" a="1"/>
  <c r="I16" i="1"/>
  <c r="I17" i="1"/>
  <c r="I18" i="1"/>
  <c r="I19" i="1"/>
  <c r="I20" i="1"/>
  <c r="J14" i="1" a="1"/>
  <c r="J14" i="1"/>
  <c r="J15" i="1"/>
  <c r="J12" i="1" a="1"/>
  <c r="K12" i="1" s="1"/>
  <c r="J12" i="1"/>
  <c r="I12" i="1" a="1"/>
  <c r="I12" i="1" s="1"/>
  <c r="B65" i="1"/>
  <c r="B22" i="1"/>
  <c r="B91" i="1"/>
  <c r="E75" i="1"/>
  <c r="F75" i="1"/>
  <c r="E76" i="1"/>
  <c r="B66" i="1"/>
  <c r="G108" i="1"/>
  <c r="F93" i="1"/>
  <c r="I103" i="1" s="1"/>
  <c r="F94" i="1"/>
  <c r="F95" i="1"/>
  <c r="F96" i="1"/>
  <c r="F98" i="1"/>
  <c r="F99" i="1"/>
  <c r="F100" i="1"/>
  <c r="F101" i="1"/>
  <c r="H103" i="1"/>
  <c r="G103" i="1"/>
  <c r="G90" i="1"/>
  <c r="I83" i="1"/>
  <c r="G83" i="1"/>
  <c r="F76" i="1"/>
  <c r="B72" i="1"/>
  <c r="B63" i="1"/>
  <c r="G57" i="1"/>
  <c r="F58" i="1"/>
  <c r="F57" i="1"/>
  <c r="E58" i="1"/>
  <c r="E57" i="1"/>
  <c r="B18" i="1"/>
  <c r="B67" i="1"/>
  <c r="B68" i="1"/>
  <c r="B70" i="1"/>
  <c r="B6" i="1"/>
  <c r="B85" i="1"/>
  <c r="B69" i="1"/>
  <c r="B84" i="1"/>
  <c r="B10" i="1"/>
  <c r="B90" i="1"/>
  <c r="B8" i="1"/>
  <c r="B86" i="1"/>
  <c r="B89" i="1"/>
  <c r="B88" i="1"/>
  <c r="B64" i="1"/>
  <c r="K8" i="1"/>
  <c r="K6" i="1"/>
  <c r="K4" i="1"/>
  <c r="I57" i="1"/>
  <c r="B104" i="1"/>
  <c r="I56" i="1"/>
  <c r="B103" i="1"/>
  <c r="J8" i="1"/>
  <c r="J7" i="1"/>
  <c r="J6" i="1"/>
  <c r="J5" i="1"/>
  <c r="I51" i="1"/>
  <c r="B99" i="1"/>
  <c r="I49" i="1"/>
  <c r="B97" i="1" s="1"/>
  <c r="I53" i="1"/>
  <c r="B101" i="1" s="1"/>
  <c r="P22" i="1"/>
  <c r="O17" i="1"/>
  <c r="O27" i="1" l="1"/>
  <c r="L29" i="1"/>
  <c r="K29" i="1"/>
  <c r="O21" i="1"/>
  <c r="P17" i="1"/>
  <c r="J13" i="1"/>
  <c r="K13" i="1"/>
  <c r="I21" i="1"/>
  <c r="J26" i="1"/>
  <c r="L5" i="1"/>
  <c r="O26" i="1"/>
  <c r="P30" i="1"/>
  <c r="P28" i="1"/>
  <c r="P26" i="1"/>
  <c r="J29" i="1"/>
  <c r="P21" i="1"/>
  <c r="O40" i="1"/>
  <c r="I22" i="1"/>
  <c r="J22" i="1"/>
  <c r="Q20" i="1"/>
  <c r="J23" i="1"/>
  <c r="K27" i="1"/>
  <c r="K7" i="1"/>
  <c r="N40" i="1"/>
  <c r="O45" i="1"/>
  <c r="O28" i="1"/>
  <c r="I29" i="1"/>
  <c r="O19" i="1"/>
  <c r="O34" i="1"/>
  <c r="N19" i="1"/>
  <c r="K28" i="1"/>
  <c r="P18" i="1"/>
  <c r="O36" i="1"/>
  <c r="N21" i="1"/>
  <c r="I14" i="1"/>
  <c r="L24" i="1"/>
  <c r="N22" i="1"/>
  <c r="K5" i="1"/>
  <c r="N39" i="1"/>
  <c r="O41" i="1"/>
  <c r="Q21" i="1"/>
  <c r="O35" i="1"/>
  <c r="O39" i="1"/>
  <c r="L28" i="1"/>
  <c r="J28" i="1"/>
  <c r="N41" i="1"/>
  <c r="I50" i="1"/>
  <c r="B98" i="1" s="1"/>
  <c r="O42" i="1"/>
  <c r="K22" i="1"/>
  <c r="I15" i="1"/>
  <c r="O20" i="1"/>
  <c r="O44" i="1"/>
  <c r="I23" i="1"/>
  <c r="J24" i="1"/>
  <c r="J27" i="1"/>
  <c r="P19" i="1"/>
  <c r="L6" i="1"/>
  <c r="K23" i="1"/>
  <c r="I13" i="1"/>
  <c r="L23" i="1"/>
  <c r="I27" i="1"/>
  <c r="N20" i="1"/>
  <c r="N38" i="1"/>
  <c r="O37" i="1"/>
  <c r="O31" i="1"/>
  <c r="O32" i="1"/>
  <c r="O22" i="1"/>
  <c r="Q17" i="1"/>
  <c r="O38" i="1"/>
  <c r="K21" i="1"/>
  <c r="J21" i="1"/>
  <c r="I28" i="1"/>
  <c r="L27" i="1"/>
  <c r="Q18" i="1"/>
  <c r="L8" i="1"/>
  <c r="I24" i="1"/>
  <c r="L22" i="1"/>
  <c r="L26" i="1"/>
  <c r="N18" i="1"/>
  <c r="N37" i="1"/>
  <c r="O33" i="1"/>
  <c r="P20" i="1"/>
  <c r="O30" i="1"/>
  <c r="O43" i="1"/>
  <c r="Q19" i="1"/>
  <c r="K24" i="1"/>
</calcChain>
</file>

<file path=xl/sharedStrings.xml><?xml version="1.0" encoding="utf-8"?>
<sst xmlns="http://schemas.openxmlformats.org/spreadsheetml/2006/main" count="79" uniqueCount="65">
  <si>
    <t>Formula</t>
  </si>
  <si>
    <t>Sheet Comment:</t>
  </si>
  <si>
    <t>Expected Result</t>
  </si>
  <si>
    <t>Comment</t>
  </si>
  <si>
    <t>&lt;end&gt;</t>
  </si>
  <si>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</si>
  <si>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</si>
  <si>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</si>
  <si>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</si>
  <si>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</si>
  <si>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</si>
  <si>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</si>
  <si>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</si>
  <si>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Database</t>
  </si>
  <si>
    <t>sa</t>
  </si>
  <si>
    <t>Trend tests</t>
  </si>
  <si>
    <t>This spreadsheet contains various test cases for the functions: TREND</t>
  </si>
  <si>
    <t>org.apache.poi.ss.formula.functions.TestTrendFunctionsFromSpreadsheet</t>
  </si>
  <si>
    <t>String instead of number</t>
  </si>
  <si>
    <t>Empty cells</t>
  </si>
  <si>
    <t>Forcing predicted line to pass through origin</t>
  </si>
  <si>
    <t>Use named area instead of range; Note: this test fails due to minor rounding errors</t>
  </si>
  <si>
    <t>Named area + forcing line to pass through origin</t>
  </si>
  <si>
    <t>Only x values given</t>
  </si>
  <si>
    <t>Multiple columns again</t>
  </si>
  <si>
    <t>More rows for x than y values</t>
  </si>
  <si>
    <t>Different shapes for x and y values</t>
  </si>
  <si>
    <t>Multiple x variables for each y (this time with rows)</t>
  </si>
  <si>
    <t>Multiple columns for x's and new_x's + passing through origin</t>
  </si>
  <si>
    <t>Multiple same y values</t>
  </si>
  <si>
    <t>No new x values given; Note: rounded</t>
  </si>
  <si>
    <t>Multiple columns in area for x and y values; Note: rounded</t>
  </si>
  <si>
    <t>Single rows for x and y values; Note: rounded</t>
  </si>
  <si>
    <t>Constant value for x and y + forcing line to pass through origin; Note: rounded</t>
  </si>
  <si>
    <t>Reference same cells for both x and y values; Note: rounded</t>
  </si>
  <si>
    <t>Multiple x variables for each y; Note: rounded</t>
  </si>
  <si>
    <t>Different shape for new_x's; Note: rounded</t>
  </si>
  <si>
    <t>Multiple columns for x and y values; Note: rounded</t>
  </si>
  <si>
    <t>Even more x variables for each y; Note: rounded</t>
  </si>
  <si>
    <t>Another test with a given range for new_x's; Note: rounded</t>
  </si>
  <si>
    <t>Multiple columns for x's and new_x's; Note: rounded</t>
  </si>
  <si>
    <t>Special matrices; Note: rounded</t>
  </si>
  <si>
    <t>Only one given y value + forcing line to pass through origin; Not yet working in current version of math library</t>
  </si>
  <si>
    <t>Only one y value; Not yet working in current version of math library</t>
  </si>
  <si>
    <t>&lt;skip&gt;</t>
  </si>
  <si>
    <t>Only one value for x, y, and new x values; Not yet working in current version of math library</t>
  </si>
  <si>
    <t>Zero values for x and y; Not yet working in current version of math library</t>
  </si>
  <si>
    <t>Constant value for x and y; Not yet working in current version of math library</t>
  </si>
  <si>
    <t>All x values the same; Not working in math library</t>
  </si>
  <si>
    <t>All x's and y's the same; Not working in math library</t>
  </si>
  <si>
    <t>Negative values + only one value for x and y values; Not working in math library</t>
  </si>
  <si>
    <t>Basic functionality</t>
  </si>
  <si>
    <t>Not yet implemented</t>
  </si>
  <si>
    <t>Corner cases</t>
  </si>
  <si>
    <t>Array functions</t>
  </si>
  <si>
    <t>More duplicate x values; Note: rounded; this one probably works because of the large sample size, unlike the others with duplicate x values</t>
  </si>
  <si>
    <t>Negative values; Note: rounded</t>
  </si>
  <si>
    <t>Only y and new x values given</t>
  </si>
  <si>
    <t>Another different shape for new_x's; Note:rounded</t>
  </si>
  <si>
    <t>Rows for x and y + new_x's different shape</t>
  </si>
  <si>
    <t>Array function with column</t>
  </si>
  <si>
    <t>Array function with different shape for new_x's</t>
  </si>
  <si>
    <t>Multiple columns for x and y and different shape for new_x's</t>
  </si>
  <si>
    <t>More x variables than samples</t>
  </si>
  <si>
    <t>Passing new x value + only one y value is given; Not implemented at all because sample size is too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</si>
</sst>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D6BA-626D-3B49-8C84-AD597412F50F}">
  <dimension ref="A1:A11"/>
  <sheetViews>
    <sheetView workbookViewId="0">
      <selection activeCell="A11" sqref="A11"/>
    </sheetView>
  </sheetViews>
  <sheetFormatPr baseColWidth="10" defaultColWidth="11.5" defaultRowHeight="15" x14ac:dyDescent="0.2"/>
  <cols>
    <col min="1" max="1" width="107.6640625" bestFit="1" customWidth="1"/>
  </cols>
  <sheetData>
    <row r="1" spans="1:1" x14ac:dyDescent="0.2">
      <c r="A1" t="s">
        <v>16</v>
      </c>
    </row>
    <row r="2" spans="1:1" x14ac:dyDescent="0.2">
      <c r="A2" t="s">
        <v>5</v>
      </c>
    </row>
    <row r="3" spans="1:1" x14ac:dyDescent="0.2">
      <c r="A3" t="s">
        <v>17</v>
      </c>
    </row>
    <row r="4" spans="1:1" x14ac:dyDescent="0.2">
      <c r="A4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ht="32" x14ac:dyDescent="0.2">
      <c r="A8" s="2" t="s">
        <v>9</v>
      </c>
    </row>
    <row r="9" spans="1:1" ht="32" x14ac:dyDescent="0.2">
      <c r="A9" s="3" t="s">
        <v>10</v>
      </c>
    </row>
    <row r="10" spans="1:1" ht="32" x14ac:dyDescent="0.2">
      <c r="A10" s="2" t="s">
        <v>11</v>
      </c>
    </row>
    <row r="11" spans="1:1" ht="32" x14ac:dyDescent="0.2">
      <c r="A11" s="2" t="s">
        <v>12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22B7-01F6-F74D-A3A4-A5FDF22447E8}">
  <dimension ref="A1:Q112"/>
  <sheetViews>
    <sheetView tabSelected="1" topLeftCell="A57" workbookViewId="0">
      <selection activeCell="A72" sqref="A72"/>
    </sheetView>
  </sheetViews>
  <sheetFormatPr baseColWidth="10" defaultColWidth="11.5" defaultRowHeight="15" x14ac:dyDescent="0.2"/>
  <cols>
    <col min="1" max="1" width="32.5" bestFit="1" customWidth="1"/>
    <col min="2" max="2" width="15.83203125" bestFit="1" customWidth="1"/>
    <col min="3" max="3" width="15.1640625" bestFit="1" customWidth="1"/>
    <col min="4" max="4" width="48.5" bestFit="1" customWidth="1"/>
  </cols>
  <sheetData>
    <row r="1" spans="1:15" x14ac:dyDescent="0.2">
      <c r="B1" s="1" t="s">
        <v>1</v>
      </c>
      <c r="C1" t="s">
        <v>15</v>
      </c>
      <c r="F1" s="1" t="s">
        <v>13</v>
      </c>
      <c r="J1">
        <v>234</v>
      </c>
    </row>
    <row r="2" spans="1:15" x14ac:dyDescent="0.2">
      <c r="F2">
        <v>12</v>
      </c>
      <c r="G2">
        <v>24</v>
      </c>
      <c r="H2">
        <v>5</v>
      </c>
      <c r="I2">
        <v>2</v>
      </c>
      <c r="J2">
        <v>45</v>
      </c>
    </row>
    <row r="3" spans="1:15" x14ac:dyDescent="0.2">
      <c r="B3" s="1" t="s">
        <v>0</v>
      </c>
      <c r="C3" s="1" t="s">
        <v>2</v>
      </c>
      <c r="D3" s="1" t="s">
        <v>3</v>
      </c>
      <c r="F3">
        <v>213</v>
      </c>
      <c r="G3">
        <v>24</v>
      </c>
      <c r="H3">
        <v>45</v>
      </c>
      <c r="I3">
        <v>32</v>
      </c>
      <c r="J3">
        <v>34</v>
      </c>
      <c r="K3" t="e">
        <f>TREND(F2,G2:H3)</f>
        <v>#REF!</v>
      </c>
    </row>
    <row r="4" spans="1:15" x14ac:dyDescent="0.2">
      <c r="F4">
        <v>4</v>
      </c>
      <c r="G4">
        <v>654</v>
      </c>
      <c r="H4">
        <v>1</v>
      </c>
      <c r="I4">
        <v>34</v>
      </c>
      <c r="J4">
        <f t="array" ref="J4:K8">TREND(F2:F10,G2:G10,H2:I2)</f>
        <v>3509.7038973298645</v>
      </c>
      <c r="K4">
        <v>3514.7654513948432</v>
      </c>
      <c r="L4">
        <f t="array" ref="L4:L8">TREND(F2:F10,G2:G10,H2)</f>
        <v>3509.7038973298645</v>
      </c>
      <c r="M4">
        <v>12</v>
      </c>
      <c r="N4">
        <v>4</v>
      </c>
      <c r="O4">
        <v>324</v>
      </c>
    </row>
    <row r="5" spans="1:15" x14ac:dyDescent="0.2">
      <c r="A5" s="1" t="s">
        <v>51</v>
      </c>
      <c r="F5">
        <v>23423</v>
      </c>
      <c r="G5">
        <v>234</v>
      </c>
      <c r="H5">
        <v>45</v>
      </c>
      <c r="I5">
        <v>34</v>
      </c>
      <c r="J5">
        <v>3509.7038973298645</v>
      </c>
      <c r="K5">
        <v>3514.7654513948432</v>
      </c>
      <c r="L5">
        <v>3509.7038973298645</v>
      </c>
      <c r="M5">
        <v>213</v>
      </c>
      <c r="N5">
        <v>23423</v>
      </c>
      <c r="O5">
        <v>234</v>
      </c>
    </row>
    <row r="6" spans="1:15" x14ac:dyDescent="0.2">
      <c r="B6">
        <f>TREND(F2:F10,G2:G10,H2:H10,FALSE)</f>
        <v>32.013139756562545</v>
      </c>
      <c r="C6">
        <v>32.013139756562545</v>
      </c>
      <c r="D6" t="s">
        <v>20</v>
      </c>
      <c r="F6">
        <v>423</v>
      </c>
      <c r="G6">
        <v>567</v>
      </c>
      <c r="H6">
        <v>4</v>
      </c>
      <c r="I6">
        <v>32423</v>
      </c>
      <c r="J6">
        <v>3509.7038973298645</v>
      </c>
      <c r="K6">
        <v>3514.7654513948432</v>
      </c>
      <c r="L6">
        <v>3509.7038973298645</v>
      </c>
      <c r="M6">
        <v>24</v>
      </c>
      <c r="N6">
        <v>654</v>
      </c>
      <c r="O6">
        <v>234</v>
      </c>
    </row>
    <row r="7" spans="1:15" x14ac:dyDescent="0.2">
      <c r="B7">
        <f>ROUND(TREND(F2:F10,G2:G10), 6)</f>
        <v>3477.6473879999999</v>
      </c>
      <c r="C7">
        <v>3477.6473879999999</v>
      </c>
      <c r="D7" t="s">
        <v>30</v>
      </c>
      <c r="F7">
        <v>423</v>
      </c>
      <c r="G7">
        <v>57</v>
      </c>
      <c r="H7">
        <v>23</v>
      </c>
      <c r="I7">
        <v>42</v>
      </c>
      <c r="J7">
        <v>3509.7038973298645</v>
      </c>
      <c r="K7">
        <v>3514.7654513948432</v>
      </c>
      <c r="L7">
        <v>3509.7038973298645</v>
      </c>
      <c r="M7">
        <v>24</v>
      </c>
      <c r="N7">
        <v>234</v>
      </c>
      <c r="O7">
        <v>3</v>
      </c>
    </row>
    <row r="8" spans="1:15" x14ac:dyDescent="0.2">
      <c r="B8">
        <f>TREND(testArea,,G2:G10)</f>
        <v>-1455.2277777777763</v>
      </c>
      <c r="C8">
        <v>-1455.2277777777763</v>
      </c>
      <c r="D8" t="s">
        <v>57</v>
      </c>
      <c r="F8">
        <v>532</v>
      </c>
      <c r="G8">
        <v>324</v>
      </c>
      <c r="H8">
        <v>3</v>
      </c>
      <c r="I8">
        <v>44</v>
      </c>
      <c r="J8">
        <v>3509.7038973298645</v>
      </c>
      <c r="K8">
        <v>3514.7654513948432</v>
      </c>
      <c r="L8">
        <v>3509.7038973298645</v>
      </c>
      <c r="M8">
        <v>5</v>
      </c>
      <c r="N8">
        <v>1</v>
      </c>
      <c r="O8">
        <v>4</v>
      </c>
    </row>
    <row r="9" spans="1:15" x14ac:dyDescent="0.2">
      <c r="B9">
        <f>ROUND(TREND(F2:G10,H2:I10), 6)</f>
        <v>1733.5836939999999</v>
      </c>
      <c r="C9">
        <v>1733.5836939999999</v>
      </c>
      <c r="D9" t="s">
        <v>31</v>
      </c>
      <c r="F9">
        <v>2342</v>
      </c>
      <c r="G9">
        <v>234</v>
      </c>
      <c r="H9">
        <v>4</v>
      </c>
      <c r="I9">
        <v>1</v>
      </c>
      <c r="J9">
        <f>TREND(F2:G3,F4:G5,F6:G7)</f>
        <v>21.024723555370826</v>
      </c>
      <c r="M9">
        <v>45</v>
      </c>
      <c r="N9">
        <v>45</v>
      </c>
      <c r="O9">
        <v>5</v>
      </c>
    </row>
    <row r="10" spans="1:15" x14ac:dyDescent="0.2">
      <c r="B10">
        <f>TREND(F2:I5,F6:I9)</f>
        <v>1554.4686347554757</v>
      </c>
      <c r="C10">
        <v>1554.4686347554757</v>
      </c>
      <c r="D10" t="s">
        <v>24</v>
      </c>
      <c r="F10">
        <v>323</v>
      </c>
      <c r="G10">
        <v>234</v>
      </c>
      <c r="H10">
        <v>5</v>
      </c>
      <c r="I10">
        <v>2</v>
      </c>
      <c r="J10">
        <f>TREND(F2:F4,G2:G4,J1:J3)</f>
        <v>76.333333333333329</v>
      </c>
      <c r="K10">
        <f>TREND(F2:H3,F4:H5,G8:H10)</f>
        <v>23.119430865019709</v>
      </c>
      <c r="L10">
        <f>TREND(M4:M9,N4:N9,O4:O9)</f>
        <v>23.119430865019709</v>
      </c>
    </row>
    <row r="11" spans="1:15" x14ac:dyDescent="0.2">
      <c r="A11" s="1"/>
      <c r="B11">
        <f>ROUND(TREND(F2:I2,F9:I9), 6)</f>
        <v>13.376026</v>
      </c>
      <c r="C11">
        <v>13.376026</v>
      </c>
      <c r="D11" t="s">
        <v>32</v>
      </c>
      <c r="I11" t="e">
        <f>TREND(F2,G2:H10)</f>
        <v>#REF!</v>
      </c>
      <c r="J11">
        <f>TREND(F2,G2:G10,H2:H10,FALSE)</f>
        <v>1.834862385321101E-2</v>
      </c>
      <c r="K11">
        <f>TREND(F2:H3,F4:H5,F7:H8)</f>
        <v>23.93328008954477</v>
      </c>
      <c r="M11">
        <v>12</v>
      </c>
      <c r="N11">
        <v>4</v>
      </c>
      <c r="O11">
        <v>324</v>
      </c>
    </row>
    <row r="12" spans="1:15" x14ac:dyDescent="0.2">
      <c r="B12">
        <f>ROUND(TREND(F2:F9,F2:F9), 6)</f>
        <v>12</v>
      </c>
      <c r="C12">
        <v>12</v>
      </c>
      <c r="D12" t="s">
        <v>34</v>
      </c>
      <c r="I12">
        <f t="array" ref="I12:I15">TREND(F7:F10,G4:G7,H7:H10)</f>
        <v>333.96235902135982</v>
      </c>
      <c r="J12">
        <f t="array" ref="J12:K13">TREND(F7:F10,G4:G7,H7:H10)</f>
        <v>333.96235902135982</v>
      </c>
      <c r="K12">
        <v>333.96235902135982</v>
      </c>
      <c r="M12">
        <v>24</v>
      </c>
      <c r="N12">
        <v>654</v>
      </c>
      <c r="O12">
        <v>3</v>
      </c>
    </row>
    <row r="13" spans="1:15" x14ac:dyDescent="0.2">
      <c r="B13">
        <f>ROUND(TREND(G27:G29,H27:H29,,FALSE), 6)</f>
        <v>5</v>
      </c>
      <c r="C13">
        <v>5</v>
      </c>
      <c r="D13" t="s">
        <v>33</v>
      </c>
      <c r="F13">
        <v>34</v>
      </c>
      <c r="G13">
        <v>23</v>
      </c>
      <c r="I13">
        <v>301.79122431833787</v>
      </c>
      <c r="J13">
        <v>301.79122431833787</v>
      </c>
      <c r="K13">
        <v>301.79122431833787</v>
      </c>
      <c r="M13">
        <v>5</v>
      </c>
      <c r="N13">
        <v>1</v>
      </c>
      <c r="O13">
        <v>234</v>
      </c>
    </row>
    <row r="14" spans="1:15" x14ac:dyDescent="0.2">
      <c r="B14">
        <f>ROUND(TREND(G31:G33,H31:H33), 6)</f>
        <v>1.594595</v>
      </c>
      <c r="C14">
        <v>1.594595</v>
      </c>
      <c r="D14" t="s">
        <v>56</v>
      </c>
      <c r="F14">
        <v>324</v>
      </c>
      <c r="G14">
        <v>123</v>
      </c>
      <c r="I14">
        <v>303.39978105348894</v>
      </c>
      <c r="J14">
        <f t="array" ref="J14:J15">TREND(F7:F10,G4:G7,H7:H10)</f>
        <v>333.96235902135982</v>
      </c>
      <c r="M14">
        <v>213</v>
      </c>
      <c r="N14">
        <v>23423</v>
      </c>
      <c r="O14">
        <v>4</v>
      </c>
    </row>
    <row r="15" spans="1:15" x14ac:dyDescent="0.2">
      <c r="B15">
        <f>ROUND(TREND(testArea,G2:H10), 6)</f>
        <v>-2791.04684</v>
      </c>
      <c r="C15">
        <v>-2791.04684</v>
      </c>
      <c r="D15" t="s">
        <v>35</v>
      </c>
      <c r="G15" t="s">
        <v>14</v>
      </c>
      <c r="I15">
        <v>305.00833778864006</v>
      </c>
      <c r="J15">
        <v>301.79122431833787</v>
      </c>
      <c r="M15">
        <v>24</v>
      </c>
      <c r="N15">
        <v>234</v>
      </c>
      <c r="O15">
        <v>234</v>
      </c>
    </row>
    <row r="16" spans="1:15" x14ac:dyDescent="0.2">
      <c r="B16">
        <f>ROUND(TREND(F2:G10,H2:I10), 6)</f>
        <v>1733.5836939999999</v>
      </c>
      <c r="C16">
        <v>1733.5836939999999</v>
      </c>
      <c r="D16" t="s">
        <v>37</v>
      </c>
      <c r="F16">
        <v>443</v>
      </c>
      <c r="G16">
        <v>4</v>
      </c>
      <c r="I16">
        <f t="array" ref="I16:I20">TREND(F7:F10,G4:G7,H7:H10)</f>
        <v>333.96235902135982</v>
      </c>
      <c r="M16">
        <v>45</v>
      </c>
      <c r="N16">
        <v>45</v>
      </c>
      <c r="O16">
        <v>5</v>
      </c>
    </row>
    <row r="17" spans="2:17" x14ac:dyDescent="0.2">
      <c r="B17">
        <f>ROUND(TREND(testArea,G2:I10), 6)</f>
        <v>-3087.9207310000002</v>
      </c>
      <c r="C17">
        <v>-3087.9207310000002</v>
      </c>
      <c r="D17" t="s">
        <v>38</v>
      </c>
      <c r="I17">
        <v>301.79122431833787</v>
      </c>
      <c r="M17">
        <f t="array" ref="M17:M22">TREND(M11:M16,N11:N16,O11:O16)</f>
        <v>23.119430865019709</v>
      </c>
      <c r="N17">
        <f t="array" ref="N17:N22">TREND(M4:M9,N4:N9,O4:O9)</f>
        <v>23.119430865019709</v>
      </c>
      <c r="O17">
        <f t="array" ref="O17:Q22">TREND(F2:H3,F4:H5,G8:H10)</f>
        <v>23.119430865019709</v>
      </c>
      <c r="P17">
        <v>20.48058640974148</v>
      </c>
      <c r="Q17" t="e">
        <v>#N/A</v>
      </c>
    </row>
    <row r="18" spans="2:17" x14ac:dyDescent="0.2">
      <c r="B18">
        <f>TREND(F2:I2,F3:I5)</f>
        <v>11.999999999999995</v>
      </c>
      <c r="C18">
        <v>12</v>
      </c>
      <c r="D18" t="s">
        <v>27</v>
      </c>
      <c r="I18">
        <v>303.39978105348894</v>
      </c>
      <c r="M18">
        <v>20.48058640974148</v>
      </c>
      <c r="N18">
        <v>22.37956793363329</v>
      </c>
      <c r="O18">
        <v>22.37956793363329</v>
      </c>
      <c r="P18">
        <v>20.488807108979106</v>
      </c>
      <c r="Q18" t="e">
        <v>#N/A</v>
      </c>
    </row>
    <row r="19" spans="2:17" x14ac:dyDescent="0.2">
      <c r="B19">
        <f>ROUND(TREND(testArea,G2:H10,H2:I2), 6)</f>
        <v>-3970.0140379999998</v>
      </c>
      <c r="C19">
        <v>-3970.0140379999998</v>
      </c>
      <c r="D19" t="s">
        <v>39</v>
      </c>
      <c r="I19">
        <v>305.00833778864006</v>
      </c>
      <c r="M19">
        <v>22.37956793363329</v>
      </c>
      <c r="N19">
        <v>22.37956793363329</v>
      </c>
      <c r="O19">
        <v>22.37956793363329</v>
      </c>
      <c r="P19">
        <v>20.497027808216735</v>
      </c>
      <c r="Q19" t="e">
        <v>#N/A</v>
      </c>
    </row>
    <row r="20" spans="2:17" x14ac:dyDescent="0.2">
      <c r="B20">
        <f>TREND(F2:F4,G2:H4,G5:H7,FALSE)</f>
        <v>211.38445872604095</v>
      </c>
      <c r="C20">
        <v>211.38445872604095</v>
      </c>
      <c r="D20" t="s">
        <v>28</v>
      </c>
      <c r="I20" t="e">
        <v>#N/A</v>
      </c>
      <c r="M20">
        <v>20.488807108979106</v>
      </c>
      <c r="N20">
        <v>20.48058640974148</v>
      </c>
      <c r="O20" t="e">
        <v>#N/A</v>
      </c>
      <c r="P20" t="e">
        <v>#N/A</v>
      </c>
      <c r="Q20" t="e">
        <v>#N/A</v>
      </c>
    </row>
    <row r="21" spans="2:17" x14ac:dyDescent="0.2">
      <c r="B21">
        <f>ROUND(TREND(F2:F4,G2:H4,G5:H7), 6)</f>
        <v>217.033333</v>
      </c>
      <c r="C21">
        <v>217.033333</v>
      </c>
      <c r="D21" t="s">
        <v>40</v>
      </c>
      <c r="G21">
        <v>12</v>
      </c>
      <c r="H21">
        <v>0</v>
      </c>
      <c r="I21">
        <f t="array" ref="I21:L24">TREND(F7:F10,G4:G7,H7:H10)</f>
        <v>333.96235902135982</v>
      </c>
      <c r="J21">
        <v>333.96235902135982</v>
      </c>
      <c r="K21">
        <v>333.96235902135982</v>
      </c>
      <c r="L21">
        <v>333.96235902135982</v>
      </c>
      <c r="M21">
        <v>22.37956793363329</v>
      </c>
      <c r="N21">
        <v>20.488807108979106</v>
      </c>
      <c r="O21" t="e">
        <v>#N/A</v>
      </c>
      <c r="P21" t="e">
        <v>#N/A</v>
      </c>
      <c r="Q21" t="e">
        <v>#N/A</v>
      </c>
    </row>
    <row r="22" spans="2:17" x14ac:dyDescent="0.2">
      <c r="B22">
        <f>TREND(I80:I82,J80:J82)</f>
        <v>5</v>
      </c>
      <c r="C22">
        <v>5</v>
      </c>
      <c r="D22" t="s">
        <v>29</v>
      </c>
      <c r="G22">
        <v>123</v>
      </c>
      <c r="H22">
        <v>123</v>
      </c>
      <c r="I22">
        <v>301.79122431833787</v>
      </c>
      <c r="J22">
        <v>301.79122431833787</v>
      </c>
      <c r="K22">
        <v>301.79122431833787</v>
      </c>
      <c r="L22">
        <v>301.79122431833787</v>
      </c>
      <c r="M22">
        <v>20.497027808216735</v>
      </c>
      <c r="N22">
        <v>20.497027808216735</v>
      </c>
      <c r="O22" t="e">
        <v>#N/A</v>
      </c>
      <c r="P22" t="e">
        <v>#N/A</v>
      </c>
      <c r="Q22" t="e">
        <v>#N/A</v>
      </c>
    </row>
    <row r="23" spans="2:17" x14ac:dyDescent="0.2">
      <c r="B23">
        <f>TREND(F2:I2,F6:I6,F8:G9)</f>
        <v>13.541253558551668</v>
      </c>
      <c r="C23">
        <v>13.541253558551668</v>
      </c>
      <c r="D23" t="s">
        <v>59</v>
      </c>
      <c r="G23">
        <v>0</v>
      </c>
      <c r="H23">
        <v>45</v>
      </c>
      <c r="I23">
        <v>303.39978105348894</v>
      </c>
      <c r="J23">
        <v>303.39978105348894</v>
      </c>
      <c r="K23">
        <v>303.39978105348894</v>
      </c>
      <c r="L23">
        <v>303.39978105348894</v>
      </c>
    </row>
    <row r="24" spans="2:17" x14ac:dyDescent="0.2">
      <c r="B24">
        <f>ROUND(TREND(testArea,G2:G10,H2:I4), 6)</f>
        <v>3509.7038969999999</v>
      </c>
      <c r="C24">
        <v>3509.7038969999999</v>
      </c>
      <c r="D24" t="s">
        <v>36</v>
      </c>
      <c r="G24">
        <v>3</v>
      </c>
      <c r="H24">
        <v>5</v>
      </c>
      <c r="I24">
        <v>305.00833778864006</v>
      </c>
      <c r="J24">
        <v>305.00833778864006</v>
      </c>
      <c r="K24">
        <v>305.00833778864006</v>
      </c>
      <c r="L24">
        <v>305.00833778864006</v>
      </c>
    </row>
    <row r="25" spans="2:17" x14ac:dyDescent="0.2">
      <c r="B25">
        <f>ROUND(TREND(F2:H3,F4:H5,G7:H9),6)</f>
        <v>20.924503999999999</v>
      </c>
      <c r="C25">
        <v>20.924503999999999</v>
      </c>
      <c r="D25" t="s">
        <v>58</v>
      </c>
      <c r="G25">
        <v>13</v>
      </c>
      <c r="H25">
        <v>7</v>
      </c>
    </row>
    <row r="26" spans="2:17" x14ac:dyDescent="0.2">
      <c r="B26">
        <f>ROUND(TREND(F2:G10,H2:I10,F2:H7),6)</f>
        <v>1733.335599</v>
      </c>
      <c r="C26">
        <v>1733.335599</v>
      </c>
      <c r="D26" t="s">
        <v>62</v>
      </c>
      <c r="I26">
        <f t="array" ref="I26:L29">TREND(F2:I2,F3:I3)</f>
        <v>11.001376052577529</v>
      </c>
      <c r="J26">
        <v>10.648141302115425</v>
      </c>
      <c r="K26">
        <v>10.687389607722325</v>
      </c>
      <c r="L26">
        <v>10.663093037584721</v>
      </c>
      <c r="M26">
        <f>TREND(testArea,G2:G10)</f>
        <v>3477.6473882516648</v>
      </c>
      <c r="N26">
        <f t="array" ref="N26:N45">TREND(F2,G2:G10)</f>
        <v>12</v>
      </c>
      <c r="O26">
        <f t="array" ref="O26:O45">TREND(F2:F10,G2:G10)</f>
        <v>3477.6473882516648</v>
      </c>
      <c r="P26">
        <f t="array" ref="P26:P33">IF(TRUE,5,3)</f>
        <v>5</v>
      </c>
    </row>
    <row r="27" spans="2:17" x14ac:dyDescent="0.2">
      <c r="G27">
        <v>5</v>
      </c>
      <c r="H27">
        <v>5</v>
      </c>
      <c r="I27">
        <v>11.001376052577529</v>
      </c>
      <c r="J27">
        <v>10.648141302115425</v>
      </c>
      <c r="K27">
        <v>10.687389607722325</v>
      </c>
      <c r="L27">
        <v>10.663093037584721</v>
      </c>
      <c r="N27">
        <v>12</v>
      </c>
      <c r="O27">
        <v>3477.6473882516648</v>
      </c>
      <c r="P27">
        <v>5</v>
      </c>
    </row>
    <row r="28" spans="2:17" x14ac:dyDescent="0.2">
      <c r="G28">
        <v>5</v>
      </c>
      <c r="H28">
        <v>5</v>
      </c>
      <c r="I28">
        <v>11.001376052577529</v>
      </c>
      <c r="J28">
        <v>10.648141302115425</v>
      </c>
      <c r="K28">
        <v>10.687389607722325</v>
      </c>
      <c r="L28">
        <v>10.663093037584721</v>
      </c>
      <c r="N28">
        <v>12</v>
      </c>
      <c r="O28">
        <v>2414.7210346060938</v>
      </c>
      <c r="P28">
        <v>5</v>
      </c>
    </row>
    <row r="29" spans="2:17" x14ac:dyDescent="0.2">
      <c r="G29">
        <v>5</v>
      </c>
      <c r="H29">
        <v>5</v>
      </c>
      <c r="I29">
        <v>11.001376052577529</v>
      </c>
      <c r="J29">
        <v>10.648141302115425</v>
      </c>
      <c r="K29">
        <v>10.687389607722325</v>
      </c>
      <c r="L29">
        <v>10.663093037584721</v>
      </c>
      <c r="N29">
        <v>12</v>
      </c>
      <c r="O29">
        <v>3123.3386037031414</v>
      </c>
      <c r="P29">
        <v>5</v>
      </c>
    </row>
    <row r="30" spans="2:17" x14ac:dyDescent="0.2">
      <c r="N30">
        <v>12</v>
      </c>
      <c r="O30">
        <v>2561.5061024904826</v>
      </c>
      <c r="P30">
        <v>5</v>
      </c>
    </row>
    <row r="31" spans="2:17" x14ac:dyDescent="0.2">
      <c r="G31">
        <v>-5</v>
      </c>
      <c r="H31">
        <v>-7</v>
      </c>
      <c r="N31">
        <v>12</v>
      </c>
      <c r="O31">
        <v>3421.9702935368969</v>
      </c>
      <c r="P31">
        <v>5</v>
      </c>
    </row>
    <row r="32" spans="2:17" x14ac:dyDescent="0.2">
      <c r="G32">
        <v>6</v>
      </c>
      <c r="H32">
        <v>-4</v>
      </c>
      <c r="N32">
        <v>12</v>
      </c>
      <c r="O32">
        <v>2971.4919817537739</v>
      </c>
      <c r="P32">
        <v>5</v>
      </c>
    </row>
    <row r="33" spans="5:16" x14ac:dyDescent="0.2">
      <c r="G33">
        <v>-20</v>
      </c>
      <c r="H33">
        <v>0</v>
      </c>
      <c r="N33">
        <v>12</v>
      </c>
      <c r="O33">
        <v>3123.3386037031414</v>
      </c>
      <c r="P33">
        <v>5</v>
      </c>
    </row>
    <row r="34" spans="5:16" x14ac:dyDescent="0.2">
      <c r="H34">
        <v>6</v>
      </c>
      <c r="N34">
        <v>12</v>
      </c>
      <c r="O34">
        <v>3123.3386037031414</v>
      </c>
    </row>
    <row r="35" spans="5:16" x14ac:dyDescent="0.2">
      <c r="H35">
        <v>-4</v>
      </c>
      <c r="N35">
        <v>12</v>
      </c>
      <c r="O35" t="e">
        <v>#N/A</v>
      </c>
    </row>
    <row r="36" spans="5:16" x14ac:dyDescent="0.2">
      <c r="N36">
        <v>12</v>
      </c>
      <c r="O36" t="e">
        <v>#N/A</v>
      </c>
    </row>
    <row r="37" spans="5:16" x14ac:dyDescent="0.2">
      <c r="N37">
        <v>12</v>
      </c>
      <c r="O37" t="e">
        <v>#N/A</v>
      </c>
    </row>
    <row r="38" spans="5:16" x14ac:dyDescent="0.2">
      <c r="E38">
        <v>12</v>
      </c>
      <c r="F38">
        <v>24</v>
      </c>
      <c r="G38">
        <v>5</v>
      </c>
      <c r="H38">
        <v>2</v>
      </c>
      <c r="I38">
        <v>213</v>
      </c>
      <c r="J38">
        <v>24</v>
      </c>
      <c r="K38">
        <v>45</v>
      </c>
      <c r="L38">
        <v>32</v>
      </c>
      <c r="N38">
        <v>12</v>
      </c>
      <c r="O38" t="e">
        <v>#N/A</v>
      </c>
    </row>
    <row r="39" spans="5:16" x14ac:dyDescent="0.2">
      <c r="E39">
        <v>213</v>
      </c>
      <c r="F39">
        <v>24</v>
      </c>
      <c r="G39">
        <v>45</v>
      </c>
      <c r="H39">
        <v>32</v>
      </c>
      <c r="N39">
        <v>12</v>
      </c>
      <c r="O39" t="e">
        <v>#N/A</v>
      </c>
    </row>
    <row r="40" spans="5:16" x14ac:dyDescent="0.2">
      <c r="E40">
        <v>4</v>
      </c>
      <c r="F40">
        <v>654</v>
      </c>
      <c r="G40">
        <v>1</v>
      </c>
      <c r="H40">
        <v>34</v>
      </c>
      <c r="I40">
        <v>23423</v>
      </c>
      <c r="J40">
        <v>234</v>
      </c>
      <c r="K40">
        <v>45</v>
      </c>
      <c r="L40">
        <v>34</v>
      </c>
      <c r="N40">
        <v>12</v>
      </c>
      <c r="O40" t="e">
        <v>#N/A</v>
      </c>
    </row>
    <row r="41" spans="5:16" x14ac:dyDescent="0.2">
      <c r="E41">
        <v>23423</v>
      </c>
      <c r="F41">
        <v>234</v>
      </c>
      <c r="G41">
        <v>45</v>
      </c>
      <c r="H41">
        <v>34</v>
      </c>
      <c r="N41">
        <v>12</v>
      </c>
      <c r="O41" t="e">
        <v>#N/A</v>
      </c>
    </row>
    <row r="42" spans="5:16" x14ac:dyDescent="0.2">
      <c r="E42">
        <v>423</v>
      </c>
      <c r="F42">
        <v>567</v>
      </c>
      <c r="G42">
        <v>4</v>
      </c>
      <c r="H42">
        <v>32423</v>
      </c>
      <c r="N42">
        <v>12</v>
      </c>
      <c r="O42" t="e">
        <v>#N/A</v>
      </c>
    </row>
    <row r="43" spans="5:16" x14ac:dyDescent="0.2">
      <c r="E43">
        <v>423</v>
      </c>
      <c r="F43">
        <v>57</v>
      </c>
      <c r="G43">
        <v>23</v>
      </c>
      <c r="H43">
        <v>42</v>
      </c>
      <c r="N43">
        <v>12</v>
      </c>
      <c r="O43" t="e">
        <v>#N/A</v>
      </c>
    </row>
    <row r="44" spans="5:16" x14ac:dyDescent="0.2">
      <c r="E44">
        <v>532</v>
      </c>
      <c r="F44">
        <v>324</v>
      </c>
      <c r="G44">
        <v>3</v>
      </c>
      <c r="H44">
        <v>44</v>
      </c>
      <c r="N44">
        <v>12</v>
      </c>
      <c r="O44" t="e">
        <v>#N/A</v>
      </c>
    </row>
    <row r="45" spans="5:16" x14ac:dyDescent="0.2">
      <c r="E45">
        <v>2342</v>
      </c>
      <c r="F45">
        <v>234</v>
      </c>
      <c r="G45">
        <v>4</v>
      </c>
      <c r="H45">
        <v>1</v>
      </c>
      <c r="N45">
        <v>12</v>
      </c>
      <c r="O45" t="e">
        <v>#N/A</v>
      </c>
    </row>
    <row r="46" spans="5:16" x14ac:dyDescent="0.2">
      <c r="E46">
        <v>323</v>
      </c>
      <c r="F46">
        <v>234</v>
      </c>
      <c r="G46">
        <v>5</v>
      </c>
      <c r="H46">
        <v>2</v>
      </c>
    </row>
    <row r="47" spans="5:16" x14ac:dyDescent="0.2">
      <c r="E47">
        <v>24</v>
      </c>
      <c r="G47">
        <v>2</v>
      </c>
    </row>
    <row r="48" spans="5:16" x14ac:dyDescent="0.2">
      <c r="E48">
        <v>24</v>
      </c>
      <c r="G48">
        <v>32</v>
      </c>
      <c r="I48">
        <f t="array" ref="I48:I53">TREND(M11:M16,N11:N16,O11:O16)</f>
        <v>23.119430865019709</v>
      </c>
    </row>
    <row r="49" spans="1:9" x14ac:dyDescent="0.2">
      <c r="E49">
        <v>654</v>
      </c>
      <c r="G49">
        <v>34</v>
      </c>
      <c r="I49">
        <v>20.48058640974148</v>
      </c>
    </row>
    <row r="50" spans="1:9" x14ac:dyDescent="0.2">
      <c r="E50">
        <v>234</v>
      </c>
      <c r="G50">
        <v>34</v>
      </c>
      <c r="I50">
        <v>22.37956793363329</v>
      </c>
    </row>
    <row r="51" spans="1:9" x14ac:dyDescent="0.2">
      <c r="E51">
        <v>567</v>
      </c>
      <c r="G51">
        <v>32423</v>
      </c>
      <c r="I51">
        <v>20.488807108979106</v>
      </c>
    </row>
    <row r="52" spans="1:9" x14ac:dyDescent="0.2">
      <c r="E52">
        <v>57</v>
      </c>
      <c r="G52">
        <v>42</v>
      </c>
      <c r="I52">
        <v>22.37956793363329</v>
      </c>
    </row>
    <row r="53" spans="1:9" x14ac:dyDescent="0.2">
      <c r="E53">
        <v>324</v>
      </c>
      <c r="G53">
        <v>44</v>
      </c>
      <c r="I53">
        <v>20.497027808216735</v>
      </c>
    </row>
    <row r="54" spans="1:9" x14ac:dyDescent="0.2">
      <c r="E54">
        <v>234</v>
      </c>
      <c r="G54">
        <v>1</v>
      </c>
    </row>
    <row r="55" spans="1:9" x14ac:dyDescent="0.2">
      <c r="E55">
        <v>234</v>
      </c>
      <c r="G55">
        <v>2</v>
      </c>
      <c r="I55">
        <f t="array" ref="I55:I57">TREND(F2:H3,F4:H5,G8:H10)</f>
        <v>23.119430865019709</v>
      </c>
    </row>
    <row r="56" spans="1:9" x14ac:dyDescent="0.2">
      <c r="I56">
        <v>22.37956793363329</v>
      </c>
    </row>
    <row r="57" spans="1:9" x14ac:dyDescent="0.2">
      <c r="E57">
        <f>TREND(E38:F46,G38:H46)</f>
        <v>1733.5836943463771</v>
      </c>
      <c r="F57">
        <f>TREND(E38:H39,E40:H41)</f>
        <v>19.409969742856955</v>
      </c>
      <c r="G57" t="e">
        <f>TREND(E38:H39,E40:F43)</f>
        <v>#REF!</v>
      </c>
      <c r="I57">
        <v>22.37956793363329</v>
      </c>
    </row>
    <row r="58" spans="1:9" x14ac:dyDescent="0.2">
      <c r="E58">
        <f>TREND(E38:E55,G38:G55)</f>
        <v>1733.5836943463771</v>
      </c>
      <c r="F58">
        <f>TREND(E38:L38,E40:L40)</f>
        <v>19.409969742856955</v>
      </c>
    </row>
    <row r="62" spans="1:9" x14ac:dyDescent="0.2">
      <c r="A62" s="1" t="s">
        <v>52</v>
      </c>
    </row>
    <row r="63" spans="1:9" x14ac:dyDescent="0.2">
      <c r="A63" t="s">
        <v>44</v>
      </c>
      <c r="B63">
        <f>TREND(F2,G2:G10,,FALSE)</f>
        <v>12</v>
      </c>
      <c r="C63">
        <v>12</v>
      </c>
      <c r="D63" t="s">
        <v>42</v>
      </c>
    </row>
    <row r="64" spans="1:9" x14ac:dyDescent="0.2">
      <c r="A64" t="s">
        <v>44</v>
      </c>
      <c r="B64">
        <f>TREND(F2,G2:G10)</f>
        <v>12</v>
      </c>
      <c r="C64">
        <v>12</v>
      </c>
      <c r="D64" t="s">
        <v>43</v>
      </c>
    </row>
    <row r="65" spans="1:10" x14ac:dyDescent="0.2">
      <c r="B65">
        <f>TREND(G87:G88,H87:H88)</f>
        <v>12</v>
      </c>
      <c r="C65">
        <v>12</v>
      </c>
      <c r="D65" t="s">
        <v>48</v>
      </c>
      <c r="E65">
        <v>12</v>
      </c>
      <c r="F65">
        <v>24</v>
      </c>
    </row>
    <row r="66" spans="1:10" x14ac:dyDescent="0.2">
      <c r="B66">
        <f>TREND(G110:G112,H110:H112)</f>
        <v>5</v>
      </c>
      <c r="C66">
        <v>5</v>
      </c>
      <c r="D66" t="s">
        <v>49</v>
      </c>
      <c r="E66">
        <v>12</v>
      </c>
      <c r="F66">
        <v>24</v>
      </c>
    </row>
    <row r="67" spans="1:10" x14ac:dyDescent="0.2">
      <c r="A67" t="s">
        <v>44</v>
      </c>
      <c r="B67">
        <f>TREND(G33,H31)</f>
        <v>-20</v>
      </c>
      <c r="C67">
        <v>-20</v>
      </c>
      <c r="D67" t="s">
        <v>50</v>
      </c>
      <c r="E67">
        <v>12</v>
      </c>
      <c r="F67">
        <v>654</v>
      </c>
    </row>
    <row r="68" spans="1:10" x14ac:dyDescent="0.2">
      <c r="A68" t="s">
        <v>44</v>
      </c>
      <c r="B68">
        <f>TREND(G7,H6,H10)</f>
        <v>57</v>
      </c>
      <c r="C68">
        <v>57</v>
      </c>
      <c r="D68" t="s">
        <v>45</v>
      </c>
      <c r="E68">
        <v>12</v>
      </c>
      <c r="F68">
        <v>234</v>
      </c>
    </row>
    <row r="69" spans="1:10" x14ac:dyDescent="0.2">
      <c r="A69" t="s">
        <v>44</v>
      </c>
      <c r="B69">
        <f>TREND(G23,H21)</f>
        <v>0</v>
      </c>
      <c r="C69">
        <v>0</v>
      </c>
      <c r="D69" t="s">
        <v>46</v>
      </c>
      <c r="E69">
        <v>12</v>
      </c>
      <c r="F69">
        <v>567</v>
      </c>
    </row>
    <row r="70" spans="1:10" x14ac:dyDescent="0.2">
      <c r="A70" t="s">
        <v>44</v>
      </c>
      <c r="B70">
        <f>TREND(G27:G29,H27:H29)</f>
        <v>5</v>
      </c>
      <c r="C70">
        <v>5</v>
      </c>
      <c r="D70" t="s">
        <v>47</v>
      </c>
      <c r="E70">
        <v>12</v>
      </c>
      <c r="F70">
        <v>57</v>
      </c>
    </row>
    <row r="71" spans="1:10" x14ac:dyDescent="0.2">
      <c r="A71" t="s">
        <v>44</v>
      </c>
      <c r="B71">
        <f>TREND(F2:F3,G2:I3)</f>
        <v>12.000000000000021</v>
      </c>
      <c r="C71">
        <v>12.000000000000021</v>
      </c>
      <c r="D71" t="s">
        <v>63</v>
      </c>
      <c r="E71">
        <v>12</v>
      </c>
      <c r="F71">
        <v>324</v>
      </c>
    </row>
    <row r="72" spans="1:10" x14ac:dyDescent="0.2">
      <c r="A72" t="s">
        <v>44</v>
      </c>
      <c r="B72" t="e">
        <f>TREND(F2,G2:G10,5)</f>
        <v>#REF!</v>
      </c>
      <c r="C72" t="e">
        <v>#REF!</v>
      </c>
      <c r="D72" t="s">
        <v>64</v>
      </c>
      <c r="E72">
        <v>12</v>
      </c>
      <c r="F72">
        <v>234</v>
      </c>
    </row>
    <row r="73" spans="1:10" x14ac:dyDescent="0.2">
      <c r="E73">
        <v>12</v>
      </c>
      <c r="F73">
        <v>234</v>
      </c>
    </row>
    <row r="74" spans="1:10" x14ac:dyDescent="0.2">
      <c r="A74" s="1"/>
    </row>
    <row r="75" spans="1:10" x14ac:dyDescent="0.2">
      <c r="E75">
        <f>TREND(E65,F65:F73,,FALSE)</f>
        <v>12</v>
      </c>
      <c r="F75">
        <f>TREND(E65:E73,F65:F73)</f>
        <v>12</v>
      </c>
    </row>
    <row r="76" spans="1:10" x14ac:dyDescent="0.2">
      <c r="E76" t="e">
        <f>TREND(E65,F65:F73,0,FALSE)</f>
        <v>#REF!</v>
      </c>
      <c r="F76">
        <f>TREND(E65:E73,F65:F73,,FALSE)</f>
        <v>0.66224373075230958</v>
      </c>
    </row>
    <row r="80" spans="1:10" x14ac:dyDescent="0.2">
      <c r="A80" s="1" t="s">
        <v>53</v>
      </c>
      <c r="G80">
        <v>5</v>
      </c>
      <c r="H80">
        <v>5</v>
      </c>
      <c r="I80">
        <v>5</v>
      </c>
      <c r="J80">
        <v>5</v>
      </c>
    </row>
    <row r="81" spans="1:11" x14ac:dyDescent="0.2">
      <c r="G81">
        <v>5</v>
      </c>
      <c r="H81">
        <v>5</v>
      </c>
      <c r="I81">
        <v>5</v>
      </c>
      <c r="J81">
        <v>4</v>
      </c>
    </row>
    <row r="82" spans="1:11" x14ac:dyDescent="0.2">
      <c r="B82">
        <f>ROUND(TREND(I84:I86,J84:K86), 6)</f>
        <v>3</v>
      </c>
      <c r="C82">
        <v>3</v>
      </c>
      <c r="D82" t="s">
        <v>41</v>
      </c>
      <c r="G82">
        <v>5</v>
      </c>
      <c r="H82">
        <v>5</v>
      </c>
      <c r="I82">
        <v>5</v>
      </c>
      <c r="J82">
        <v>4</v>
      </c>
    </row>
    <row r="83" spans="1:11" x14ac:dyDescent="0.2">
      <c r="B83">
        <f>ROUND(TREND(G92:G101,H92:K101), 6)</f>
        <v>0.122881</v>
      </c>
      <c r="C83">
        <v>0.122881</v>
      </c>
      <c r="D83" t="s">
        <v>55</v>
      </c>
      <c r="G83">
        <f>TREND(G80:H82,I80:J82)</f>
        <v>5</v>
      </c>
      <c r="I83">
        <f>TREND(I80:I82,J80:J82)</f>
        <v>5</v>
      </c>
    </row>
    <row r="84" spans="1:11" x14ac:dyDescent="0.2">
      <c r="B84" t="e">
        <f>TREND(F2:I5,F6:I10)</f>
        <v>#REF!</v>
      </c>
      <c r="C84" t="e">
        <v>#REF!</v>
      </c>
      <c r="D84" t="s">
        <v>25</v>
      </c>
      <c r="I84">
        <v>3</v>
      </c>
      <c r="J84">
        <v>2</v>
      </c>
      <c r="K84">
        <v>4</v>
      </c>
    </row>
    <row r="85" spans="1:11" x14ac:dyDescent="0.2">
      <c r="B85">
        <f>ROUND(TREND(testArea),6)</f>
        <v>4031.4222220000001</v>
      </c>
      <c r="C85">
        <v>4031.4222220000001</v>
      </c>
      <c r="D85" t="s">
        <v>21</v>
      </c>
      <c r="G85">
        <v>3</v>
      </c>
      <c r="H85">
        <v>3</v>
      </c>
      <c r="I85">
        <v>6</v>
      </c>
      <c r="J85">
        <v>4</v>
      </c>
      <c r="K85">
        <v>8</v>
      </c>
    </row>
    <row r="86" spans="1:11" x14ac:dyDescent="0.2">
      <c r="B86">
        <f>TREND(testArea,G2:G10,H2:H10,FALSE)</f>
        <v>32.013139756562545</v>
      </c>
      <c r="C86">
        <v>32.013139756562545</v>
      </c>
      <c r="D86" t="s">
        <v>22</v>
      </c>
      <c r="G86">
        <v>3</v>
      </c>
      <c r="H86">
        <v>3</v>
      </c>
      <c r="I86">
        <v>9</v>
      </c>
      <c r="J86">
        <v>6</v>
      </c>
      <c r="K86">
        <v>12</v>
      </c>
    </row>
    <row r="87" spans="1:11" x14ac:dyDescent="0.2">
      <c r="G87">
        <v>20</v>
      </c>
      <c r="H87">
        <v>3</v>
      </c>
    </row>
    <row r="88" spans="1:11" x14ac:dyDescent="0.2">
      <c r="B88" t="e">
        <f>TREND(F13:F16)</f>
        <v>#VALUE!</v>
      </c>
      <c r="C88" t="e">
        <v>#VALUE!</v>
      </c>
      <c r="D88" t="s">
        <v>19</v>
      </c>
      <c r="G88">
        <v>4</v>
      </c>
      <c r="H88">
        <v>3</v>
      </c>
    </row>
    <row r="89" spans="1:11" x14ac:dyDescent="0.2">
      <c r="B89" t="e">
        <f>TREND(G13:G16)</f>
        <v>#VALUE!</v>
      </c>
      <c r="C89" t="e">
        <v>#VALUE!</v>
      </c>
      <c r="D89" t="s">
        <v>18</v>
      </c>
    </row>
    <row r="90" spans="1:11" x14ac:dyDescent="0.2">
      <c r="B90" t="e">
        <f>TREND(,G2:G10)</f>
        <v>#VALUE!</v>
      </c>
      <c r="C90" t="e">
        <v>#VALUE!</v>
      </c>
      <c r="D90" t="s">
        <v>23</v>
      </c>
      <c r="G90">
        <f>MDETERM(G85:H86)</f>
        <v>0</v>
      </c>
    </row>
    <row r="91" spans="1:11" x14ac:dyDescent="0.2">
      <c r="B91" t="e">
        <f>TREND(F2:G5,F9:I10)</f>
        <v>#REF!</v>
      </c>
      <c r="C91" t="e">
        <v>#REF!</v>
      </c>
      <c r="D91" t="s">
        <v>26</v>
      </c>
    </row>
    <row r="92" spans="1:11" x14ac:dyDescent="0.2">
      <c r="F92">
        <v>1</v>
      </c>
      <c r="G92">
        <v>1</v>
      </c>
      <c r="H92">
        <v>2</v>
      </c>
      <c r="I92">
        <v>3</v>
      </c>
      <c r="J92">
        <v>10</v>
      </c>
      <c r="K92">
        <v>12</v>
      </c>
    </row>
    <row r="93" spans="1:11" x14ac:dyDescent="0.2">
      <c r="F93">
        <f t="shared" ref="F93:F101" si="0">G93*1.5</f>
        <v>3</v>
      </c>
      <c r="G93">
        <v>2</v>
      </c>
      <c r="H93">
        <v>67</v>
      </c>
      <c r="I93">
        <v>6</v>
      </c>
      <c r="J93">
        <v>5</v>
      </c>
      <c r="K93">
        <v>4</v>
      </c>
    </row>
    <row r="94" spans="1:11" x14ac:dyDescent="0.2">
      <c r="F94">
        <f t="shared" si="0"/>
        <v>4.5</v>
      </c>
      <c r="G94">
        <v>3</v>
      </c>
      <c r="H94">
        <v>7</v>
      </c>
      <c r="I94">
        <v>6</v>
      </c>
      <c r="J94">
        <v>4</v>
      </c>
      <c r="K94">
        <v>123</v>
      </c>
    </row>
    <row r="95" spans="1:11" x14ac:dyDescent="0.2">
      <c r="A95" s="1" t="s">
        <v>54</v>
      </c>
      <c r="F95">
        <f t="shared" si="0"/>
        <v>6</v>
      </c>
      <c r="G95">
        <v>4</v>
      </c>
      <c r="H95">
        <v>6</v>
      </c>
      <c r="I95">
        <v>7</v>
      </c>
      <c r="J95">
        <v>7</v>
      </c>
      <c r="K95">
        <v>32</v>
      </c>
    </row>
    <row r="96" spans="1:11" x14ac:dyDescent="0.2">
      <c r="A96" s="1"/>
      <c r="B96">
        <f t="shared" ref="B96:B101" si="1">ROUND(I48,6)</f>
        <v>23.119430999999999</v>
      </c>
      <c r="C96">
        <v>23.119430999999999</v>
      </c>
      <c r="D96" t="s">
        <v>60</v>
      </c>
      <c r="F96">
        <f t="shared" si="0"/>
        <v>7.5</v>
      </c>
      <c r="G96">
        <v>5</v>
      </c>
      <c r="H96">
        <v>5</v>
      </c>
      <c r="I96">
        <v>4</v>
      </c>
      <c r="J96">
        <v>2</v>
      </c>
      <c r="K96">
        <v>23</v>
      </c>
    </row>
    <row r="97" spans="1:11" x14ac:dyDescent="0.2">
      <c r="B97">
        <f t="shared" si="1"/>
        <v>20.480585999999999</v>
      </c>
      <c r="C97">
        <v>20.480585999999999</v>
      </c>
      <c r="D97" t="s">
        <v>60</v>
      </c>
      <c r="F97">
        <v>1</v>
      </c>
      <c r="G97">
        <v>2</v>
      </c>
      <c r="H97">
        <v>2</v>
      </c>
      <c r="I97">
        <v>3</v>
      </c>
      <c r="J97">
        <v>4</v>
      </c>
      <c r="K97">
        <v>12</v>
      </c>
    </row>
    <row r="98" spans="1:11" x14ac:dyDescent="0.2">
      <c r="B98">
        <f t="shared" si="1"/>
        <v>22.379567999999999</v>
      </c>
      <c r="C98">
        <v>22.379567999999999</v>
      </c>
      <c r="D98" t="s">
        <v>60</v>
      </c>
      <c r="F98">
        <f t="shared" si="0"/>
        <v>6</v>
      </c>
      <c r="G98">
        <v>4</v>
      </c>
      <c r="H98">
        <v>67</v>
      </c>
      <c r="I98">
        <v>6</v>
      </c>
      <c r="J98">
        <v>5</v>
      </c>
      <c r="K98">
        <v>4</v>
      </c>
    </row>
    <row r="99" spans="1:11" x14ac:dyDescent="0.2">
      <c r="B99">
        <f t="shared" si="1"/>
        <v>20.488807000000001</v>
      </c>
      <c r="C99">
        <v>20.488807000000001</v>
      </c>
      <c r="D99" t="s">
        <v>60</v>
      </c>
      <c r="F99">
        <f t="shared" si="0"/>
        <v>9</v>
      </c>
      <c r="G99">
        <v>6</v>
      </c>
      <c r="H99">
        <v>7</v>
      </c>
      <c r="I99">
        <v>6</v>
      </c>
      <c r="J99">
        <v>4</v>
      </c>
      <c r="K99">
        <v>123</v>
      </c>
    </row>
    <row r="100" spans="1:11" x14ac:dyDescent="0.2">
      <c r="B100">
        <f t="shared" si="1"/>
        <v>22.379567999999999</v>
      </c>
      <c r="C100">
        <v>22.379567999999999</v>
      </c>
      <c r="D100" t="s">
        <v>60</v>
      </c>
      <c r="F100">
        <f t="shared" si="0"/>
        <v>12</v>
      </c>
      <c r="G100">
        <v>8</v>
      </c>
      <c r="H100">
        <v>6</v>
      </c>
      <c r="I100">
        <v>7</v>
      </c>
      <c r="J100">
        <v>7</v>
      </c>
      <c r="K100">
        <v>32</v>
      </c>
    </row>
    <row r="101" spans="1:11" x14ac:dyDescent="0.2">
      <c r="B101">
        <f t="shared" si="1"/>
        <v>20.497028</v>
      </c>
      <c r="C101">
        <v>20.497028</v>
      </c>
      <c r="D101" t="s">
        <v>60</v>
      </c>
      <c r="F101">
        <f t="shared" si="0"/>
        <v>15</v>
      </c>
      <c r="G101">
        <v>10</v>
      </c>
      <c r="H101">
        <v>5</v>
      </c>
      <c r="I101">
        <v>4</v>
      </c>
      <c r="J101">
        <v>2</v>
      </c>
      <c r="K101">
        <v>23</v>
      </c>
    </row>
    <row r="102" spans="1:11" x14ac:dyDescent="0.2">
      <c r="A102" s="1"/>
      <c r="B102">
        <f>ROUND(I55,6)</f>
        <v>23.119430999999999</v>
      </c>
      <c r="C102">
        <v>23.119430999999999</v>
      </c>
      <c r="D102" t="s">
        <v>61</v>
      </c>
    </row>
    <row r="103" spans="1:11" x14ac:dyDescent="0.2">
      <c r="B103">
        <f>ROUND(I56,6)</f>
        <v>22.379567999999999</v>
      </c>
      <c r="C103">
        <v>22.379567999999999</v>
      </c>
      <c r="D103" t="s">
        <v>61</v>
      </c>
      <c r="G103">
        <f>TREND(G92:G101,H92:K101)</f>
        <v>0.12288114177482168</v>
      </c>
      <c r="H103">
        <f>TREND(G92:G96,H92:K96)</f>
        <v>1.0000000000000004</v>
      </c>
      <c r="I103">
        <f>TREND(F92:F97,H92:K97)</f>
        <v>0.10883119583162193</v>
      </c>
    </row>
    <row r="104" spans="1:11" x14ac:dyDescent="0.2">
      <c r="B104">
        <f>ROUND(I57,6)</f>
        <v>22.379567999999999</v>
      </c>
      <c r="C104">
        <v>22.379567999999999</v>
      </c>
      <c r="D104" t="s">
        <v>61</v>
      </c>
    </row>
    <row r="105" spans="1:11" x14ac:dyDescent="0.2">
      <c r="G105">
        <v>3</v>
      </c>
      <c r="H105">
        <v>3</v>
      </c>
      <c r="I105">
        <v>3</v>
      </c>
    </row>
    <row r="106" spans="1:11" x14ac:dyDescent="0.2">
      <c r="G106">
        <v>3</v>
      </c>
      <c r="H106">
        <v>3</v>
      </c>
      <c r="I106">
        <v>3</v>
      </c>
    </row>
    <row r="107" spans="1:11" x14ac:dyDescent="0.2">
      <c r="G107">
        <v>3</v>
      </c>
      <c r="H107">
        <v>3</v>
      </c>
      <c r="I107">
        <v>3</v>
      </c>
    </row>
    <row r="108" spans="1:11" x14ac:dyDescent="0.2">
      <c r="G108">
        <f>TREND(G105:G107,H105:I107)</f>
        <v>3</v>
      </c>
    </row>
    <row r="110" spans="1:11" x14ac:dyDescent="0.2">
      <c r="G110">
        <v>5</v>
      </c>
      <c r="H110">
        <v>5</v>
      </c>
    </row>
    <row r="111" spans="1:11" x14ac:dyDescent="0.2">
      <c r="A111" t="s">
        <v>4</v>
      </c>
      <c r="G111">
        <v>5</v>
      </c>
      <c r="H111">
        <v>5</v>
      </c>
    </row>
    <row r="112" spans="1:11" x14ac:dyDescent="0.2">
      <c r="G112">
        <v>5</v>
      </c>
      <c r="H112">
        <v>5</v>
      </c>
    </row>
  </sheetData>
  <pageMargins left="0.7" right="0.7" top="0.78740157499999996" bottom="0.78740157499999996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Read Me</vt:lpstr>
      <vt:lpstr>Trend</vt:lpstr>
      <vt:lpstr>testArea</vt:lpstr>
    </vt:vector>
  </TitlesOfParts>
  <Company>HALTEC Hallensyteme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Zimmermann Patrick</dc:creator>
  <cp:lastModifiedBy>Dietmar Rietsch</cp:lastModifiedBy>
  <dcterms:created xsi:type="dcterms:W3CDTF">2014-09-18T12:02:20Z</dcterms:created>
  <dcterms:modified xsi:type="dcterms:W3CDTF">2026-08-20T14:05:46Z</dcterms:modified>
</cp:coreProperties>
</file>