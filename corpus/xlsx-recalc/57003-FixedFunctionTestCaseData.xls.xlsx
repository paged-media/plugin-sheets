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1C6CC98E-2EEA-7D4C-9197-0413C1AC00E0}" xr6:coauthVersionLast="47" xr6:coauthVersionMax="47" xr10:uidLastSave="{00000000-0000-0000-0000-000000000000}"/>
  <bookViews>
    <workbookView xWindow="8300" yWindow="600" windowWidth="22820" windowHeight="12200" xr2:uid="{C304556E-C6D8-0841-A502-DCED693058EC}"/>
  </bookViews>
  <sheets>
    <sheet name="Read Me" sheetId="3" r:id="rId1"/>
    <sheet name="Code" sheetId="2" r:id="rId2"/>
  </sheets>
  <definedNames>
    <definedName name="numberArea">Code!$J$123:$M$125</definedName>
    <definedName name="oneByOne">Code!$L$7</definedName>
    <definedName name="singleColumn">Code!$K$5:$K$9</definedName>
    <definedName name="singleRow">Code!$J$6:$N$6</definedName>
    <definedName name="threeByThree">Code!$K$6:$M$8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<sst xmlns="http://schemas.openxmlformats.org/spreadsheetml/2006/main" count="41" uniqueCount="37">
  <si>
    <t>Name of the main junit test class which uses this spreadsheet:</t>
  </si>
  <si>
    <t>(The content of cell 'Read Me'!A3 is confirmed by the test)</t>
  </si>
  <si>
    <t>Every sheet besides this first one contains formula evaluation test cases in a standardised format.</t>
  </si>
  <si>
    <t>On row 4 of each sheet, in columns B,C,D there are the column headings "Formula", "Expected Result" and "Comment"</t>
  </si>
  <si>
    <t xml:space="preserve">The test iterates down from row 5 onward  until a the text "&lt;end&gt;" is found in column A.   Rows with "&lt;skip&gt;" in column A are ignored (useful for currently unsupported behaviour).  Otherwise column A can be used for commenting the group of rows below. </t>
  </si>
  <si>
    <t>If the evaluated result of column B does not match the expected result in column C, the junit test will report a failure.  Test failures get annotated with the section and row comments, if any.</t>
  </si>
  <si>
    <t>Besides the first 4 columns, row 5 onwards, the junit test does not inspect any other cells in the sheet.  The other cells can be used freely to set up test data.</t>
  </si>
  <si>
    <t>Care should be taken to not only make the values in column C match those in column B, but also to make sure column C contains only simple literal values.  This can be achieved easily by 'pasting special' from column B to C, selecting the 'as values' option.</t>
  </si>
  <si>
    <t>&lt;end&gt;</t>
  </si>
  <si>
    <t>Formula</t>
  </si>
  <si>
    <t>Expected Result</t>
  </si>
  <si>
    <t>Comment</t>
  </si>
  <si>
    <t>Sheet Comment:</t>
  </si>
  <si>
    <t>This spreadsheet contains various test cases for the functions: Fixed</t>
  </si>
  <si>
    <t>Tests for the FIXED function.</t>
  </si>
  <si>
    <t>2</t>
  </si>
  <si>
    <t>1</t>
  </si>
  <si>
    <t>1235</t>
  </si>
  <si>
    <t>1230</t>
  </si>
  <si>
    <t>100</t>
  </si>
  <si>
    <t>0</t>
  </si>
  <si>
    <t>1234.57</t>
  </si>
  <si>
    <t>1,234.57</t>
  </si>
  <si>
    <t>1234.5678900</t>
  </si>
  <si>
    <t>1,234.568</t>
  </si>
  <si>
    <t>1000.00</t>
  </si>
  <si>
    <t>1,000.00</t>
  </si>
  <si>
    <t>1.234567890123450</t>
  </si>
  <si>
    <t>thousands separator</t>
  </si>
  <si>
    <t>rounding</t>
  </si>
  <si>
    <t>fractional digits</t>
  </si>
  <si>
    <t>less than three agruments</t>
  </si>
  <si>
    <t>invalid arguments</t>
  </si>
  <si>
    <t>strange arguments</t>
  </si>
  <si>
    <t>corner cases</t>
  </si>
  <si>
    <t>rounding propagation</t>
  </si>
  <si>
    <t>org.apache.poi.ss.formula.functions.TestFixedFunctionsFromSpreadsheet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</si>
</sst>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2" fillId="0" borderId="0" xfId="0" applyFont="1"/>
    <xf numFmtId="49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2789-1DB1-604D-BBC0-4BD909812ED1}">
  <dimension ref="A1:A11"/>
  <sheetViews>
    <sheetView tabSelected="1" workbookViewId="0"/>
  </sheetViews>
  <sheetFormatPr baseColWidth="10" defaultColWidth="9.1640625" defaultRowHeight="15" x14ac:dyDescent="0.2"/>
  <cols>
    <col min="1" max="1" width="108.5" bestFit="1" customWidth="1"/>
  </cols>
  <sheetData>
    <row r="1" spans="1:1" x14ac:dyDescent="0.2">
      <c r="A1" t="s">
        <v>13</v>
      </c>
    </row>
    <row r="2" spans="1:1" x14ac:dyDescent="0.2">
      <c r="A2" t="s">
        <v>0</v>
      </c>
    </row>
    <row r="3" spans="1:1" x14ac:dyDescent="0.2">
      <c r="A3" t="s">
        <v>36</v>
      </c>
    </row>
    <row r="4" spans="1:1" x14ac:dyDescent="0.2">
      <c r="A4" t="s">
        <v>1</v>
      </c>
    </row>
    <row r="6" spans="1:1" x14ac:dyDescent="0.2">
      <c r="A6" t="s">
        <v>2</v>
      </c>
    </row>
    <row r="7" spans="1:1" x14ac:dyDescent="0.2">
      <c r="A7" t="s">
        <v>3</v>
      </c>
    </row>
    <row r="8" spans="1:1" ht="32" x14ac:dyDescent="0.2">
      <c r="A8" s="2" t="s">
        <v>4</v>
      </c>
    </row>
    <row r="9" spans="1:1" ht="32" x14ac:dyDescent="0.2">
      <c r="A9" s="3" t="s">
        <v>5</v>
      </c>
    </row>
    <row r="10" spans="1:1" ht="32" x14ac:dyDescent="0.2">
      <c r="A10" s="2" t="s">
        <v>6</v>
      </c>
    </row>
    <row r="11" spans="1:1" ht="32" x14ac:dyDescent="0.2">
      <c r="A11" s="2" t="s">
        <v>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22F7-910C-9447-B9B1-6CDBB38029F9}">
  <dimension ref="A1:F32"/>
  <sheetViews>
    <sheetView workbookViewId="0">
      <selection activeCell="D25" sqref="D25"/>
    </sheetView>
  </sheetViews>
  <sheetFormatPr baseColWidth="10" defaultColWidth="9.1640625" defaultRowHeight="15" x14ac:dyDescent="0.2"/>
  <cols>
    <col min="1" max="1" width="6.5" bestFit="1" customWidth="1"/>
    <col min="2" max="2" width="17.6640625" bestFit="1" customWidth="1"/>
    <col min="3" max="3" width="49.5" bestFit="1" customWidth="1"/>
    <col min="4" max="4" width="25.33203125" customWidth="1"/>
    <col min="5" max="5" width="16.6640625" customWidth="1"/>
    <col min="6" max="6" width="13.6640625" customWidth="1"/>
    <col min="7" max="7" width="16.6640625" customWidth="1"/>
    <col min="8" max="8" width="9.1640625" customWidth="1"/>
    <col min="9" max="9" width="2.1640625" bestFit="1" customWidth="1"/>
    <col min="10" max="13" width="4" bestFit="1" customWidth="1"/>
    <col min="14" max="14" width="2.1640625" bestFit="1" customWidth="1"/>
  </cols>
  <sheetData>
    <row r="1" spans="2:6" x14ac:dyDescent="0.2">
      <c r="B1" s="4" t="s">
        <v>12</v>
      </c>
      <c r="C1" t="s">
        <v>14</v>
      </c>
    </row>
    <row r="3" spans="2:6" x14ac:dyDescent="0.2">
      <c r="B3" s="4" t="s">
        <v>9</v>
      </c>
      <c r="C3" s="4" t="s">
        <v>10</v>
      </c>
      <c r="D3" s="4" t="s">
        <v>11</v>
      </c>
    </row>
    <row r="4" spans="2:6" x14ac:dyDescent="0.2">
      <c r="E4" s="5"/>
    </row>
    <row r="5" spans="2:6" x14ac:dyDescent="0.2">
      <c r="B5" t="str">
        <f>FIXED(1234.56789,2,TRUE)</f>
        <v>1234,57</v>
      </c>
      <c r="C5" s="5" t="s">
        <v>21</v>
      </c>
      <c r="D5" t="s">
        <v>28</v>
      </c>
    </row>
    <row r="6" spans="2:6" x14ac:dyDescent="0.2">
      <c r="B6" t="str">
        <f>FIXED(1234.56789,2,FALSE)</f>
        <v>1.234,57</v>
      </c>
      <c r="C6" s="5" t="s">
        <v>22</v>
      </c>
    </row>
    <row r="7" spans="2:6" x14ac:dyDescent="0.2">
      <c r="B7" t="str">
        <f>FIXED(1.8,0,TRUE)</f>
        <v>2</v>
      </c>
      <c r="C7" s="5" t="s">
        <v>15</v>
      </c>
      <c r="D7" t="s">
        <v>29</v>
      </c>
    </row>
    <row r="8" spans="2:6" x14ac:dyDescent="0.2">
      <c r="B8" t="str">
        <f>FIXED(1.2,0,TRUE)</f>
        <v>1</v>
      </c>
      <c r="C8" s="5" t="s">
        <v>16</v>
      </c>
    </row>
    <row r="9" spans="2:6" x14ac:dyDescent="0.2">
      <c r="B9" t="str">
        <f>FIXED(1.5,0,TRUE)</f>
        <v>2</v>
      </c>
      <c r="C9" s="5" t="s">
        <v>15</v>
      </c>
    </row>
    <row r="10" spans="2:6" x14ac:dyDescent="0.2">
      <c r="B10" t="str">
        <f>FIXED(1,0,TRUE)</f>
        <v>1</v>
      </c>
      <c r="C10" s="5" t="s">
        <v>16</v>
      </c>
      <c r="F10" s="6"/>
    </row>
    <row r="11" spans="2:6" x14ac:dyDescent="0.2">
      <c r="B11" t="str">
        <f>FIXED(1234.56789,7,TRUE)</f>
        <v>1234,5678900</v>
      </c>
      <c r="C11" s="5" t="s">
        <v>23</v>
      </c>
      <c r="D11" t="s">
        <v>30</v>
      </c>
      <c r="F11" s="7"/>
    </row>
    <row r="12" spans="2:6" x14ac:dyDescent="0.2">
      <c r="B12" t="str">
        <f>FIXED(1234.56789,0,TRUE)</f>
        <v>1235</v>
      </c>
      <c r="C12" s="5" t="s">
        <v>17</v>
      </c>
    </row>
    <row r="13" spans="2:6" x14ac:dyDescent="0.2">
      <c r="B13" t="str">
        <f>FIXED(1234.56789,-1,TRUE)</f>
        <v>1230</v>
      </c>
      <c r="C13" s="5" t="s">
        <v>18</v>
      </c>
    </row>
    <row r="14" spans="2:6" x14ac:dyDescent="0.2">
      <c r="B14" t="str">
        <f>FIXED(1234.56789)</f>
        <v>1.234,57</v>
      </c>
      <c r="C14" s="5" t="s">
        <v>22</v>
      </c>
      <c r="D14" t="s">
        <v>31</v>
      </c>
    </row>
    <row r="15" spans="2:6" x14ac:dyDescent="0.2">
      <c r="B15" t="str">
        <f>FIXED(1234.56789,3)</f>
        <v>1.234,568</v>
      </c>
      <c r="C15" s="5" t="s">
        <v>24</v>
      </c>
    </row>
    <row r="16" spans="2:6" x14ac:dyDescent="0.2">
      <c r="B16" t="e">
        <f>FIXED("invalid")</f>
        <v>#VALUE!</v>
      </c>
      <c r="C16" s="5" t="e">
        <v>#VALUE!</v>
      </c>
      <c r="D16" t="s">
        <v>32</v>
      </c>
    </row>
    <row r="17" spans="1:5" x14ac:dyDescent="0.2">
      <c r="B17" t="e">
        <f>FIXED(1,"invalid")</f>
        <v>#VALUE!</v>
      </c>
      <c r="C17" s="5" t="e">
        <v>#VALUE!</v>
      </c>
    </row>
    <row r="18" spans="1:5" x14ac:dyDescent="0.2">
      <c r="B18" t="e">
        <f>FIXED(1,2,"invalid")</f>
        <v>#VALUE!</v>
      </c>
      <c r="C18" s="5" t="e">
        <v>#VALUE!</v>
      </c>
    </row>
    <row r="19" spans="1:5" x14ac:dyDescent="0.2">
      <c r="B19" t="str">
        <f>FIXED(1000,2,8)</f>
        <v>1000,00</v>
      </c>
      <c r="C19" s="5" t="s">
        <v>25</v>
      </c>
      <c r="D19" t="s">
        <v>33</v>
      </c>
    </row>
    <row r="20" spans="1:5" x14ac:dyDescent="0.2">
      <c r="B20" t="str">
        <f>FIXED(1000,2,0)</f>
        <v>1.000,00</v>
      </c>
      <c r="C20" s="5" t="s">
        <v>26</v>
      </c>
    </row>
    <row r="21" spans="1:5" x14ac:dyDescent="0.2">
      <c r="B21" t="str">
        <f>FIXED(1.23456789012345,15,TRUE)</f>
        <v>1,234567890123450</v>
      </c>
      <c r="C21" s="5" t="s">
        <v>27</v>
      </c>
      <c r="D21" t="s">
        <v>34</v>
      </c>
    </row>
    <row r="22" spans="1:5" x14ac:dyDescent="0.2">
      <c r="B22" t="str">
        <f>FIXED(60,-2,TRUE)</f>
        <v>100</v>
      </c>
      <c r="C22" s="5" t="s">
        <v>19</v>
      </c>
    </row>
    <row r="23" spans="1:5" x14ac:dyDescent="0.2">
      <c r="B23" t="str">
        <f>FIXED(10,-2,TRUE)</f>
        <v>0</v>
      </c>
      <c r="C23" s="5" t="s">
        <v>20</v>
      </c>
    </row>
    <row r="24" spans="1:5" x14ac:dyDescent="0.2">
      <c r="B24" t="str">
        <f>FIXED(99.9,0,TRUE)</f>
        <v>100</v>
      </c>
      <c r="C24" s="5" t="s">
        <v>19</v>
      </c>
      <c r="D24" t="s">
        <v>35</v>
      </c>
    </row>
    <row r="25" spans="1:5" x14ac:dyDescent="0.2">
      <c r="A25" t="s">
        <v>8</v>
      </c>
    </row>
    <row r="32" spans="1:5" x14ac:dyDescent="0.2">
      <c r="E32" s="1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5</vt:i4>
      </vt:variant>
    </vt:vector>
  </HeadingPairs>
  <TitlesOfParts>
    <vt:vector size="7" baseType="lpstr">
      <vt:lpstr>Read Me</vt:lpstr>
      <vt:lpstr>Code</vt:lpstr>
      <vt:lpstr>numberArea</vt:lpstr>
      <vt:lpstr>oneByOne</vt:lpstr>
      <vt:lpstr>singleColumn</vt:lpstr>
      <vt:lpstr>singleRow</vt:lpstr>
      <vt:lpstr>threeByThree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Dietmar Rietsch</cp:lastModifiedBy>
  <dcterms:created xsi:type="dcterms:W3CDTF">2008-02-17T20:34:32Z</dcterms:created>
  <dcterms:modified xsi:type="dcterms:W3CDTF">2026-08-20T14:02:30Z</dcterms:modified>
</cp:coreProperties>
</file>